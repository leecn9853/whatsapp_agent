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CoderYing/Projects/whatsapp_agent/excel_agent/test/"/>
    </mc:Choice>
  </mc:AlternateContent>
  <xr:revisionPtr revIDLastSave="0" documentId="13_ncr:1_{8B4E1D25-663C-F440-B8E6-B474D14AB0D7}" xr6:coauthVersionLast="47" xr6:coauthVersionMax="47" xr10:uidLastSave="{00000000-0000-0000-0000-000000000000}"/>
  <bookViews>
    <workbookView xWindow="37280" yWindow="2680" windowWidth="34560" windowHeight="20480" xr2:uid="{00000000-000D-0000-FFFF-FFFF00000000}"/>
  </bookViews>
  <sheets>
    <sheet name="月度成本明细" sheetId="1" r:id="rId1"/>
    <sheet name="供应商采购成本" sheetId="3" r:id="rId2"/>
    <sheet name="分类整理" sheetId="7" r:id="rId3"/>
    <sheet name="成本分析看板" sheetId="5" r:id="rId4"/>
    <sheet name="成本图表" sheetId="6" r:id="rId5"/>
  </sheets>
  <definedNames>
    <definedName name="_xlnm._FilterDatabase" localSheetId="0" hidden="1">月度成本明细!$A$1:$F$505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5" l="1"/>
  <c r="E35" i="5"/>
  <c r="E36" i="5"/>
  <c r="E37" i="5"/>
  <c r="E38" i="5"/>
  <c r="E33" i="5"/>
  <c r="A34" i="5"/>
  <c r="A35" i="5"/>
  <c r="A36" i="5"/>
  <c r="A37" i="5"/>
  <c r="A38" i="5"/>
  <c r="A33" i="5"/>
  <c r="E9" i="7" a="1"/>
  <c r="E9" i="7" s="1"/>
  <c r="C10" i="7" a="1"/>
  <c r="C10" i="7" s="1"/>
  <c r="E3" i="7" a="1"/>
  <c r="E3" i="7" s="1"/>
  <c r="A22" i="5" s="1"/>
  <c r="B22" i="5" s="1"/>
  <c r="A3" i="7" a="1"/>
  <c r="A3" i="7" s="1"/>
  <c r="A5" i="5" s="1"/>
  <c r="C3" i="7" a="1"/>
  <c r="C3" i="7" s="1"/>
  <c r="C22" i="5" l="1"/>
  <c r="D22" i="5" s="1"/>
  <c r="E10" i="7" a="1"/>
  <c r="E10" i="7" s="1"/>
  <c r="C11" i="7" a="1"/>
  <c r="C11" i="7" s="1"/>
  <c r="C5" i="5"/>
  <c r="H5" i="5"/>
  <c r="G5" i="5"/>
  <c r="F5" i="5" s="1"/>
  <c r="B5" i="5"/>
  <c r="E4" i="7" a="1"/>
  <c r="E4" i="7" s="1"/>
  <c r="C4" i="7" a="1"/>
  <c r="C4" i="7" s="1"/>
  <c r="A4" i="7" a="1"/>
  <c r="A4" i="7" s="1"/>
  <c r="A6" i="5" s="1"/>
  <c r="E11" i="7" l="1" a="1"/>
  <c r="E11" i="7" s="1"/>
  <c r="C12" i="7" a="1"/>
  <c r="C12" i="7" s="1"/>
  <c r="H6" i="5"/>
  <c r="G6" i="5"/>
  <c r="F6" i="5" s="1"/>
  <c r="C6" i="5"/>
  <c r="B6" i="5"/>
  <c r="E5" i="7" a="1"/>
  <c r="E5" i="7" s="1"/>
  <c r="A24" i="5" s="1"/>
  <c r="A23" i="5"/>
  <c r="C5" i="7" a="1"/>
  <c r="C5" i="7" s="1"/>
  <c r="A5" i="7" a="1"/>
  <c r="A5" i="7" s="1"/>
  <c r="A7" i="5" s="1"/>
  <c r="E5" i="5"/>
  <c r="B24" i="5" l="1"/>
  <c r="C24" i="5"/>
  <c r="B23" i="5"/>
  <c r="D23" i="5" s="1"/>
  <c r="C23" i="5"/>
  <c r="E12" i="7" a="1"/>
  <c r="E12" i="7" s="1"/>
  <c r="C13" i="7" a="1"/>
  <c r="C13" i="7" s="1"/>
  <c r="E6" i="7" a="1"/>
  <c r="E6" i="7" s="1"/>
  <c r="A25" i="5" s="1"/>
  <c r="C7" i="5"/>
  <c r="B7" i="5"/>
  <c r="H7" i="5"/>
  <c r="G7" i="5"/>
  <c r="F7" i="5" s="1"/>
  <c r="D5" i="5"/>
  <c r="C6" i="7" a="1"/>
  <c r="C6" i="7" s="1"/>
  <c r="C7" i="7" s="1" a="1"/>
  <c r="C7" i="7" s="1"/>
  <c r="A6" i="7" a="1"/>
  <c r="A6" i="7" s="1"/>
  <c r="E6" i="5"/>
  <c r="D24" i="5" l="1"/>
  <c r="B25" i="5"/>
  <c r="C25" i="5"/>
  <c r="E13" i="7" a="1"/>
  <c r="E13" i="7" s="1"/>
  <c r="E14" i="7" a="1"/>
  <c r="E14" i="7" s="1"/>
  <c r="C14" i="7" a="1"/>
  <c r="C14" i="7" s="1"/>
  <c r="E7" i="5"/>
  <c r="A8" i="5"/>
  <c r="E7" i="7" a="1"/>
  <c r="E7" i="7" s="1"/>
  <c r="A26" i="5" s="1"/>
  <c r="D7" i="5"/>
  <c r="D6" i="5"/>
  <c r="A7" i="7" a="1"/>
  <c r="A7" i="7" s="1"/>
  <c r="B8" i="5" l="1"/>
  <c r="B26" i="5"/>
  <c r="C26" i="5"/>
  <c r="D25" i="5"/>
  <c r="E8" i="7" a="1"/>
  <c r="E8" i="7" s="1"/>
  <c r="A27" i="5" s="1"/>
  <c r="H8" i="5"/>
  <c r="C8" i="5"/>
  <c r="G8" i="5"/>
  <c r="F8" i="5" s="1"/>
  <c r="A8" i="7" a="1"/>
  <c r="A8" i="7" s="1"/>
  <c r="A9" i="5"/>
  <c r="C8" i="7" a="1"/>
  <c r="C8" i="7" s="1"/>
  <c r="C9" i="7" s="1" a="1"/>
  <c r="C9" i="7" s="1"/>
  <c r="E8" i="5" l="1"/>
  <c r="D26" i="5"/>
  <c r="B27" i="5"/>
  <c r="C27" i="5"/>
  <c r="C28" i="5" s="1"/>
  <c r="D8" i="5"/>
  <c r="C9" i="5"/>
  <c r="B9" i="5"/>
  <c r="H9" i="5"/>
  <c r="G9" i="5"/>
  <c r="F9" i="5" s="1"/>
  <c r="A9" i="7" a="1"/>
  <c r="A9" i="7" s="1"/>
  <c r="A11" i="5" s="1"/>
  <c r="A10" i="5"/>
  <c r="D27" i="5" l="1"/>
  <c r="D28" i="5" s="1"/>
  <c r="B28" i="5"/>
  <c r="D9" i="5"/>
  <c r="E9" i="5"/>
  <c r="A10" i="7" a="1"/>
  <c r="A10" i="7" s="1"/>
  <c r="A12" i="5" s="1"/>
  <c r="C10" i="5"/>
  <c r="H10" i="5"/>
  <c r="G10" i="5"/>
  <c r="F10" i="5" s="1"/>
  <c r="B10" i="5"/>
  <c r="H11" i="5"/>
  <c r="G11" i="5"/>
  <c r="F11" i="5" s="1"/>
  <c r="B11" i="5"/>
  <c r="C11" i="5"/>
  <c r="E11" i="5" l="1"/>
  <c r="D10" i="5"/>
  <c r="D11" i="5"/>
  <c r="G12" i="5"/>
  <c r="F12" i="5" s="1"/>
  <c r="A11" i="7" a="1"/>
  <c r="A11" i="7" s="1"/>
  <c r="A12" i="7" s="1" a="1"/>
  <c r="A12" i="7" s="1"/>
  <c r="A14" i="5" s="1"/>
  <c r="C12" i="5"/>
  <c r="H12" i="5"/>
  <c r="B12" i="5"/>
  <c r="E10" i="5"/>
  <c r="D12" i="5" l="1"/>
  <c r="A13" i="7" a="1"/>
  <c r="A13" i="7" s="1"/>
  <c r="A14" i="7" s="1" a="1"/>
  <c r="A14" i="7" s="1"/>
  <c r="A16" i="5" s="1"/>
  <c r="E12" i="5"/>
  <c r="A13" i="5"/>
  <c r="H14" i="5"/>
  <c r="G14" i="5"/>
  <c r="F14" i="5" s="1"/>
  <c r="C14" i="5"/>
  <c r="B14" i="5"/>
  <c r="A15" i="5" l="1"/>
  <c r="E14" i="5"/>
  <c r="B13" i="5"/>
  <c r="H13" i="5"/>
  <c r="G13" i="5"/>
  <c r="F13" i="5" s="1"/>
  <c r="C13" i="5"/>
  <c r="C15" i="5"/>
  <c r="B15" i="5"/>
  <c r="H15" i="5"/>
  <c r="G15" i="5"/>
  <c r="G16" i="5"/>
  <c r="F16" i="5" s="1"/>
  <c r="C16" i="5"/>
  <c r="B16" i="5"/>
  <c r="H16" i="5"/>
  <c r="D14" i="5"/>
  <c r="D15" i="5" l="1"/>
  <c r="F15" i="5"/>
  <c r="G17" i="5"/>
  <c r="E13" i="5"/>
  <c r="D13" i="5"/>
  <c r="H17" i="5"/>
  <c r="E15" i="5"/>
  <c r="D16" i="5"/>
  <c r="E16" i="5" l="1"/>
  <c r="F17" i="5" l="1"/>
  <c r="B17" i="5"/>
  <c r="E17" i="5"/>
  <c r="D17" i="5"/>
  <c r="C17" i="5"/>
  <c r="F33" i="5" l="1"/>
  <c r="G33" i="5"/>
  <c r="B33" i="5"/>
  <c r="C33" i="5"/>
  <c r="F34" i="5" l="1"/>
  <c r="G34" i="5"/>
  <c r="B34" i="5"/>
  <c r="C34" i="5"/>
  <c r="D33" i="5"/>
  <c r="F35" i="5" l="1"/>
  <c r="B35" i="5"/>
  <c r="G35" i="5"/>
  <c r="D34" i="5"/>
  <c r="C35" i="5"/>
  <c r="F36" i="5" l="1"/>
  <c r="G36" i="5"/>
  <c r="B36" i="5"/>
  <c r="D35" i="5"/>
  <c r="C36" i="5"/>
  <c r="G37" i="5" l="1"/>
  <c r="B37" i="5"/>
  <c r="F37" i="5"/>
  <c r="D36" i="5"/>
  <c r="C37" i="5"/>
  <c r="D37" i="5" s="1"/>
  <c r="G38" i="5" l="1"/>
  <c r="B38" i="5"/>
  <c r="F38" i="5"/>
  <c r="C38" i="5"/>
  <c r="F39" i="5" l="1"/>
  <c r="G39" i="5"/>
  <c r="D38" i="5"/>
  <c r="E39" i="5" l="1"/>
  <c r="C39" i="5"/>
  <c r="B39" i="5"/>
  <c r="D39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<sst xmlns="http://schemas.openxmlformats.org/spreadsheetml/2006/main" count="2506" uniqueCount="67">
  <si>
    <t>月份</t>
  </si>
  <si>
    <t>部门</t>
  </si>
  <si>
    <t>成本类别</t>
  </si>
  <si>
    <t>金额(万元)</t>
  </si>
  <si>
    <t>预算(万元)</t>
  </si>
  <si>
    <t>是否超支</t>
  </si>
  <si>
    <t>2025-01</t>
  </si>
  <si>
    <t>研发部</t>
  </si>
  <si>
    <t>人力成本</t>
  </si>
  <si>
    <t>是</t>
  </si>
  <si>
    <t>云服务器费用</t>
  </si>
  <si>
    <t>否</t>
  </si>
  <si>
    <t>市场推广费</t>
  </si>
  <si>
    <t>办公租金</t>
  </si>
  <si>
    <t>设备采购</t>
  </si>
  <si>
    <t>培训费用</t>
  </si>
  <si>
    <t>差旅费</t>
  </si>
  <si>
    <t>市场部</t>
  </si>
  <si>
    <t>销售部</t>
  </si>
  <si>
    <t>运营部</t>
  </si>
  <si>
    <t>人力资源部</t>
  </si>
  <si>
    <t>行政部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</si>
  <si>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</si>
  <si>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</si>
  <si>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</si>
  <si>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</si>
  <si>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</si>
  <si>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</si>
  <si>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</si>
  <si>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</si>
  <si>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</si>
  <si>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</si>
  <si>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</si>
  <si>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年度总成本(万元)</t>
  </si>
  <si>
    <t>年度预算(万元)</t>
  </si>
  <si>
    <t>预算执行率</t>
  </si>
  <si>
    <t>供应商名称</t>
  </si>
  <si>
    <t>采购类别</t>
  </si>
  <si>
    <t>采购日期</t>
  </si>
  <si>
    <t>采购金额(万元)</t>
  </si>
  <si>
    <t>付款状态</t>
  </si>
  <si>
    <t>鑫盛办公用品</t>
  </si>
  <si>
    <t>待付款</t>
  </si>
  <si>
    <t>蓝海云计算</t>
  </si>
  <si>
    <t>部分付款</t>
  </si>
  <si>
    <t>极速网络科技</t>
  </si>
  <si>
    <t>华科设备供应</t>
  </si>
  <si>
    <t>创新市场传媒</t>
  </si>
  <si>
    <t>已付款</t>
  </si>
  <si>
    <t>优选人力资源</t>
  </si>
  <si>
    <t>总支出(万元)</t>
  </si>
  <si>
    <t>总预算(万元)</t>
  </si>
  <si>
    <t>超支笔数</t>
  </si>
  <si>
    <t>总笔数</t>
  </si>
  <si>
    <t>供应商采购总额(万元)</t>
  </si>
  <si>
    <t>待付款笔数</t>
  </si>
  <si>
    <t>成本分析看板（月份/成本类别取自「数据整理」的去重结果，数值为公式联动）</t>
  </si>
  <si>
    <t>一、月度成本趋势（数据来源：月度成本明细，经「数据整理」去重分组）</t>
  </si>
  <si>
    <t>差异(万元)</t>
  </si>
  <si>
    <t>超支占比</t>
  </si>
  <si>
    <t>合计/平均</t>
  </si>
  <si>
    <t>二、部门预算执行对比（数据来源：部门成本汇总，超支笔次交叉核对月度成本明细）</t>
  </si>
  <si>
    <t>三、采购类别成本对比（数据来源：供应商采购成本，经「数据整理」去重分组）</t>
  </si>
  <si>
    <t>明细记录总额(万元)</t>
  </si>
  <si>
    <t>供应商采购占比</t>
  </si>
  <si>
    <t>待付款笔数占比</t>
  </si>
  <si>
    <t>部门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</si>
</sst>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6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4"/>
      <name val="宋体"/>
      <family val="3"/>
      <charset val="134"/>
    </font>
    <font>
      <b/>
      <sz val="12"/>
      <color rgb="FF1F4E78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176" fontId="0" fillId="0" borderId="0" xfId="0" applyNumberFormat="1"/>
    <xf numFmtId="177" fontId="0" fillId="0" borderId="0" xfId="0" applyNumberForma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176" fontId="4" fillId="3" borderId="0" xfId="0" applyNumberFormat="1" applyFont="1" applyFill="1"/>
    <xf numFmtId="0" fontId="0" fillId="4" borderId="0" xfId="0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月度总支出 </a:t>
            </a:r>
            <a:r>
              <a:rPr lang="en"/>
              <a:t>vs </a:t>
            </a:r>
            <a:r>
              <a:rPr lang="zh-CN" altLang="en-US"/>
              <a:t>总预算趋势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成本分析看板!$B$4</c:f>
              <c:strCache>
                <c:ptCount val="1"/>
                <c:pt idx="0">
                  <c:v>总支出(万元)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成本分析看板!$A$5:$A$16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成本分析看板!$B$5:$B$16</c:f>
              <c:numCache>
                <c:formatCode>General</c:formatCode>
                <c:ptCount val="12"/>
                <c:pt idx="0">
                  <c:v>1526.36</c:v>
                </c:pt>
                <c:pt idx="1">
                  <c:v>1485.6299999999999</c:v>
                </c:pt>
                <c:pt idx="2">
                  <c:v>1569.52</c:v>
                </c:pt>
                <c:pt idx="3">
                  <c:v>1581.05</c:v>
                </c:pt>
                <c:pt idx="4">
                  <c:v>1651.1800000000005</c:v>
                </c:pt>
                <c:pt idx="5">
                  <c:v>1572.0700000000006</c:v>
                </c:pt>
                <c:pt idx="6">
                  <c:v>1519.5200000000002</c:v>
                </c:pt>
                <c:pt idx="7">
                  <c:v>1564.6900000000003</c:v>
                </c:pt>
                <c:pt idx="8">
                  <c:v>1493.0799999999997</c:v>
                </c:pt>
                <c:pt idx="9">
                  <c:v>1479.8100000000002</c:v>
                </c:pt>
                <c:pt idx="10">
                  <c:v>1618.5299999999997</c:v>
                </c:pt>
                <c:pt idx="11">
                  <c:v>1545.6399999999994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B0-D447-AB33-BA539FC14C4B}"/>
            </c:ext>
          </c:extLst>
        </c:ser>
        <c:ser>
          <c:idx val="1"/>
          <c:order val="1"/>
          <c:tx>
            <c:strRef>
              <c:f>成本分析看板!$C$4</c:f>
              <c:strCache>
                <c:ptCount val="1"/>
                <c:pt idx="0">
                  <c:v>总预算(万元)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成本分析看板!$A$5:$A$16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成本分析看板!$C$5:$C$16</c:f>
              <c:numCache>
                <c:formatCode>General</c:formatCode>
                <c:ptCount val="12"/>
                <c:pt idx="0">
                  <c:v>1544.0400000000004</c:v>
                </c:pt>
                <c:pt idx="1">
                  <c:v>1544.0400000000004</c:v>
                </c:pt>
                <c:pt idx="2">
                  <c:v>1544.0400000000004</c:v>
                </c:pt>
                <c:pt idx="3">
                  <c:v>1544.0400000000004</c:v>
                </c:pt>
                <c:pt idx="4">
                  <c:v>1544.0400000000004</c:v>
                </c:pt>
                <c:pt idx="5">
                  <c:v>1544.0400000000004</c:v>
                </c:pt>
                <c:pt idx="6">
                  <c:v>1544.0400000000004</c:v>
                </c:pt>
                <c:pt idx="7">
                  <c:v>1544.0400000000004</c:v>
                </c:pt>
                <c:pt idx="8">
                  <c:v>1544.0400000000004</c:v>
                </c:pt>
                <c:pt idx="9">
                  <c:v>1544.0400000000004</c:v>
                </c:pt>
                <c:pt idx="10">
                  <c:v>1544.0400000000004</c:v>
                </c:pt>
                <c:pt idx="11">
                  <c:v>1544.0400000000004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3B0-D447-AB33-BA539FC14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月份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金额</a:t>
                </a:r>
                <a:r>
                  <a:rPr lang="en-US" altLang="zh-CN"/>
                  <a:t>(</a:t>
                </a:r>
                <a:r>
                  <a:rPr lang="zh-CN" altLang="en-US"/>
                  <a:t>万元</a:t>
                </a:r>
                <a:r>
                  <a:rPr lang="en-US" altLang="zh-CN"/>
                  <a:t>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部门年度总成本 </a:t>
            </a:r>
            <a:r>
              <a:rPr lang="en"/>
              <a:t>vs </a:t>
            </a:r>
            <a:r>
              <a:rPr lang="zh-CN" altLang="en-US"/>
              <a:t>年度预算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成本分析看板!$B$21</c:f>
              <c:strCache>
                <c:ptCount val="1"/>
                <c:pt idx="0">
                  <c:v>年度总成本(万元)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成本分析看板!$A$22:$A$27</c:f>
              <c:strCache>
                <c:ptCount val="6"/>
                <c:pt idx="0">
                  <c:v>研发部</c:v>
                </c:pt>
                <c:pt idx="1">
                  <c:v>市场部</c:v>
                </c:pt>
                <c:pt idx="2">
                  <c:v>销售部</c:v>
                </c:pt>
                <c:pt idx="3">
                  <c:v>运营部</c:v>
                </c:pt>
                <c:pt idx="4">
                  <c:v>人力资源部</c:v>
                </c:pt>
                <c:pt idx="5">
                  <c:v>行政部</c:v>
                </c:pt>
              </c:strCache>
            </c:strRef>
          </c:cat>
          <c:val>
            <c:numRef>
              <c:f>成本分析看板!$B$22:$B$27</c:f>
              <c:numCache>
                <c:formatCode>General</c:formatCode>
                <c:ptCount val="6"/>
                <c:pt idx="0">
                  <c:v>2923.5699999999993</c:v>
                </c:pt>
                <c:pt idx="1">
                  <c:v>3220.5300000000007</c:v>
                </c:pt>
                <c:pt idx="2">
                  <c:v>4130.45</c:v>
                </c:pt>
                <c:pt idx="3">
                  <c:v>3005.7300000000005</c:v>
                </c:pt>
                <c:pt idx="4">
                  <c:v>2789.9499999999985</c:v>
                </c:pt>
                <c:pt idx="5">
                  <c:v>2536.8500000000004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E-4E46-82B4-9F426880E629}"/>
            </c:ext>
          </c:extLst>
        </c:ser>
        <c:ser>
          <c:idx val="1"/>
          <c:order val="1"/>
          <c:tx>
            <c:strRef>
              <c:f>成本分析看板!$C$21</c:f>
              <c:strCache>
                <c:ptCount val="1"/>
                <c:pt idx="0">
                  <c:v>年度预算(万元)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成本分析看板!$A$22:$A$27</c:f>
              <c:strCache>
                <c:ptCount val="6"/>
                <c:pt idx="0">
                  <c:v>研发部</c:v>
                </c:pt>
                <c:pt idx="1">
                  <c:v>市场部</c:v>
                </c:pt>
                <c:pt idx="2">
                  <c:v>销售部</c:v>
                </c:pt>
                <c:pt idx="3">
                  <c:v>运营部</c:v>
                </c:pt>
                <c:pt idx="4">
                  <c:v>人力资源部</c:v>
                </c:pt>
                <c:pt idx="5">
                  <c:v>行政部</c:v>
                </c:pt>
              </c:strCache>
            </c:strRef>
          </c:cat>
          <c:val>
            <c:numRef>
              <c:f>成本分析看板!$C$22:$C$27</c:f>
              <c:numCache>
                <c:formatCode>General</c:formatCode>
                <c:ptCount val="6"/>
                <c:pt idx="0">
                  <c:v>2863.3199999999993</c:v>
                </c:pt>
                <c:pt idx="1">
                  <c:v>3285.2400000000007</c:v>
                </c:pt>
                <c:pt idx="2">
                  <c:v>4138.3200000000006</c:v>
                </c:pt>
                <c:pt idx="3">
                  <c:v>2939.7600000000011</c:v>
                </c:pt>
                <c:pt idx="4">
                  <c:v>2796.239999999998</c:v>
                </c:pt>
                <c:pt idx="5">
                  <c:v>2505.6000000000004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6E-4E46-82B4-9F426880E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部门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金额</a:t>
                </a:r>
                <a:r>
                  <a:rPr lang="en-US" altLang="zh-CN"/>
                  <a:t>(</a:t>
                </a:r>
                <a:r>
                  <a:rPr lang="zh-CN" altLang="en-US"/>
                  <a:t>万元</a:t>
                </a:r>
                <a:r>
                  <a:rPr lang="en-US" altLang="zh-CN"/>
                  <a:t>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各类别供应商采购总额 </a:t>
            </a:r>
            <a:r>
              <a:rPr lang="en"/>
              <a:t>vs </a:t>
            </a:r>
            <a:r>
              <a:rPr lang="zh-CN" altLang="en-US"/>
              <a:t>明细记录总额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成本分析看板!$B$32</c:f>
              <c:strCache>
                <c:ptCount val="1"/>
                <c:pt idx="0">
                  <c:v>供应商采购总额(万元)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成本分析看板!$A$33:$A$38</c:f>
              <c:strCache>
                <c:ptCount val="6"/>
                <c:pt idx="0">
                  <c:v>设备采购</c:v>
                </c:pt>
                <c:pt idx="1">
                  <c:v>云服务器费用</c:v>
                </c:pt>
                <c:pt idx="2">
                  <c:v>办公租金</c:v>
                </c:pt>
                <c:pt idx="3">
                  <c:v>市场推广费</c:v>
                </c:pt>
                <c:pt idx="4">
                  <c:v>培训费用</c:v>
                </c:pt>
                <c:pt idx="5">
                  <c:v>差旅费</c:v>
                </c:pt>
              </c:strCache>
            </c:strRef>
          </c:cat>
          <c:val>
            <c:numRef>
              <c:f>成本分析看板!$B$33:$B$38</c:f>
              <c:numCache>
                <c:formatCode>General</c:formatCode>
                <c:ptCount val="6"/>
                <c:pt idx="0">
                  <c:v>318.76</c:v>
                </c:pt>
                <c:pt idx="1">
                  <c:v>307.60000000000002</c:v>
                </c:pt>
                <c:pt idx="2">
                  <c:v>376.20999999999992</c:v>
                </c:pt>
                <c:pt idx="3">
                  <c:v>299.9199999999999</c:v>
                </c:pt>
                <c:pt idx="4">
                  <c:v>283.46000000000009</c:v>
                </c:pt>
                <c:pt idx="5">
                  <c:v>398.37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0-7A4D-8A85-E8F55B52CFA5}"/>
            </c:ext>
          </c:extLst>
        </c:ser>
        <c:ser>
          <c:idx val="1"/>
          <c:order val="1"/>
          <c:tx>
            <c:strRef>
              <c:f>成本分析看板!$C$32</c:f>
              <c:strCache>
                <c:ptCount val="1"/>
                <c:pt idx="0">
                  <c:v>明细记录总额(万元)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成本分析看板!$A$33:$A$38</c:f>
              <c:strCache>
                <c:ptCount val="6"/>
                <c:pt idx="0">
                  <c:v>设备采购</c:v>
                </c:pt>
                <c:pt idx="1">
                  <c:v>云服务器费用</c:v>
                </c:pt>
                <c:pt idx="2">
                  <c:v>办公租金</c:v>
                </c:pt>
                <c:pt idx="3">
                  <c:v>市场推广费</c:v>
                </c:pt>
                <c:pt idx="4">
                  <c:v>培训费用</c:v>
                </c:pt>
                <c:pt idx="5">
                  <c:v>差旅费</c:v>
                </c:pt>
              </c:strCache>
            </c:strRef>
          </c:cat>
          <c:val>
            <c:numRef>
              <c:f>成本分析看板!$C$33:$C$38</c:f>
              <c:numCache>
                <c:formatCode>General</c:formatCode>
                <c:ptCount val="6"/>
                <c:pt idx="0">
                  <c:v>3042.25</c:v>
                </c:pt>
                <c:pt idx="1">
                  <c:v>2769.59</c:v>
                </c:pt>
                <c:pt idx="2">
                  <c:v>2473.4899999999993</c:v>
                </c:pt>
                <c:pt idx="3">
                  <c:v>2619.3999999999992</c:v>
                </c:pt>
                <c:pt idx="4">
                  <c:v>2516.690000000001</c:v>
                </c:pt>
                <c:pt idx="5">
                  <c:v>2649.3700000000017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20-7A4D-8A85-E8F55B52C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成本类别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金额</a:t>
                </a:r>
                <a:r>
                  <a:rPr lang="en-US" altLang="zh-CN"/>
                  <a:t>(</a:t>
                </a:r>
                <a:r>
                  <a:rPr lang="zh-CN" altLang="en-US"/>
                  <a:t>万元</a:t>
                </a:r>
                <a:r>
                  <a:rPr lang="en-US" altLang="zh-CN"/>
                  <a:t>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37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5"/>
  <sheetViews>
    <sheetView tabSelected="1" workbookViewId="0">
      <pane ySplit="1" topLeftCell="A2" activePane="bottomLeft" state="frozen"/>
      <selection pane="bottomLeft" activeCell="J35" sqref="J35"/>
    </sheetView>
  </sheetViews>
  <sheetFormatPr baseColWidth="10" defaultColWidth="8.83203125" defaultRowHeight="14"/>
  <cols>
    <col min="1" max="1" width="10" customWidth="1"/>
    <col min="2" max="2" width="11.1640625" bestFit="1" customWidth="1"/>
    <col min="3" max="3" width="13" bestFit="1" customWidth="1"/>
    <col min="4" max="5" width="11.1640625" bestFit="1" customWidth="1"/>
    <col min="6" max="6" width="1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18.440000000000001</v>
      </c>
      <c r="E2">
        <v>15.97</v>
      </c>
      <c r="F2" t="s">
        <v>9</v>
      </c>
    </row>
    <row r="3" spans="1:6">
      <c r="A3" t="s">
        <v>6</v>
      </c>
      <c r="B3" t="s">
        <v>7</v>
      </c>
      <c r="C3" t="s">
        <v>10</v>
      </c>
      <c r="D3">
        <v>46.72</v>
      </c>
      <c r="E3">
        <v>58.02</v>
      </c>
      <c r="F3" t="s">
        <v>11</v>
      </c>
    </row>
    <row r="4" spans="1:6">
      <c r="A4" t="s">
        <v>6</v>
      </c>
      <c r="B4" t="s">
        <v>7</v>
      </c>
      <c r="C4" t="s">
        <v>12</v>
      </c>
      <c r="D4">
        <v>27.5</v>
      </c>
      <c r="E4">
        <v>22.66</v>
      </c>
      <c r="F4" t="s">
        <v>9</v>
      </c>
    </row>
    <row r="5" spans="1:6">
      <c r="A5" t="s">
        <v>6</v>
      </c>
      <c r="B5" t="s">
        <v>7</v>
      </c>
      <c r="C5" t="s">
        <v>13</v>
      </c>
      <c r="D5">
        <v>50.17</v>
      </c>
      <c r="E5">
        <v>40.520000000000003</v>
      </c>
      <c r="F5" t="s">
        <v>9</v>
      </c>
    </row>
    <row r="6" spans="1:6">
      <c r="A6" t="s">
        <v>6</v>
      </c>
      <c r="B6" t="s">
        <v>7</v>
      </c>
      <c r="C6" t="s">
        <v>14</v>
      </c>
      <c r="D6">
        <v>65.72</v>
      </c>
      <c r="E6">
        <v>54.94</v>
      </c>
      <c r="F6" t="s">
        <v>9</v>
      </c>
    </row>
    <row r="7" spans="1:6">
      <c r="A7" t="s">
        <v>6</v>
      </c>
      <c r="B7" t="s">
        <v>7</v>
      </c>
      <c r="C7" t="s">
        <v>15</v>
      </c>
      <c r="D7">
        <v>10.01</v>
      </c>
      <c r="E7">
        <v>9.92</v>
      </c>
      <c r="F7" t="s">
        <v>9</v>
      </c>
    </row>
    <row r="8" spans="1:6">
      <c r="A8" t="s">
        <v>6</v>
      </c>
      <c r="B8" t="s">
        <v>7</v>
      </c>
      <c r="C8" t="s">
        <v>16</v>
      </c>
      <c r="D8">
        <v>27.51</v>
      </c>
      <c r="E8">
        <v>36.58</v>
      </c>
      <c r="F8" t="s">
        <v>11</v>
      </c>
    </row>
    <row r="9" spans="1:6">
      <c r="A9" t="s">
        <v>6</v>
      </c>
      <c r="B9" t="s">
        <v>17</v>
      </c>
      <c r="C9" t="s">
        <v>8</v>
      </c>
      <c r="D9">
        <v>37.93</v>
      </c>
      <c r="E9">
        <v>34.43</v>
      </c>
      <c r="F9" t="s">
        <v>9</v>
      </c>
    </row>
    <row r="10" spans="1:6">
      <c r="A10" t="s">
        <v>6</v>
      </c>
      <c r="B10" t="s">
        <v>17</v>
      </c>
      <c r="C10" t="s">
        <v>10</v>
      </c>
      <c r="D10">
        <v>36.299999999999997</v>
      </c>
      <c r="E10">
        <v>44.77</v>
      </c>
      <c r="F10" t="s">
        <v>11</v>
      </c>
    </row>
    <row r="11" spans="1:6">
      <c r="A11" t="s">
        <v>6</v>
      </c>
      <c r="B11" t="s">
        <v>17</v>
      </c>
      <c r="C11" t="s">
        <v>12</v>
      </c>
      <c r="D11">
        <v>44.33</v>
      </c>
      <c r="E11">
        <v>56.52</v>
      </c>
      <c r="F11" t="s">
        <v>11</v>
      </c>
    </row>
    <row r="12" spans="1:6">
      <c r="A12" t="s">
        <v>6</v>
      </c>
      <c r="B12" t="s">
        <v>17</v>
      </c>
      <c r="C12" t="s">
        <v>13</v>
      </c>
      <c r="D12">
        <v>49.38</v>
      </c>
      <c r="E12">
        <v>55.23</v>
      </c>
      <c r="F12" t="s">
        <v>11</v>
      </c>
    </row>
    <row r="13" spans="1:6">
      <c r="A13" t="s">
        <v>6</v>
      </c>
      <c r="B13" t="s">
        <v>17</v>
      </c>
      <c r="C13" t="s">
        <v>14</v>
      </c>
      <c r="D13">
        <v>12.42</v>
      </c>
      <c r="E13">
        <v>14.63</v>
      </c>
      <c r="F13" t="s">
        <v>11</v>
      </c>
    </row>
    <row r="14" spans="1:6">
      <c r="A14" t="s">
        <v>6</v>
      </c>
      <c r="B14" t="s">
        <v>17</v>
      </c>
      <c r="C14" t="s">
        <v>15</v>
      </c>
      <c r="D14">
        <v>45.84</v>
      </c>
      <c r="E14">
        <v>53.52</v>
      </c>
      <c r="F14" t="s">
        <v>11</v>
      </c>
    </row>
    <row r="15" spans="1:6">
      <c r="A15" t="s">
        <v>6</v>
      </c>
      <c r="B15" t="s">
        <v>17</v>
      </c>
      <c r="C15" t="s">
        <v>16</v>
      </c>
      <c r="D15">
        <v>12.34</v>
      </c>
      <c r="E15">
        <v>14.67</v>
      </c>
      <c r="F15" t="s">
        <v>11</v>
      </c>
    </row>
    <row r="16" spans="1:6">
      <c r="A16" t="s">
        <v>6</v>
      </c>
      <c r="B16" t="s">
        <v>18</v>
      </c>
      <c r="C16" t="s">
        <v>8</v>
      </c>
      <c r="D16">
        <v>64.040000000000006</v>
      </c>
      <c r="E16">
        <v>55.58</v>
      </c>
      <c r="F16" t="s">
        <v>9</v>
      </c>
    </row>
    <row r="17" spans="1:6">
      <c r="A17" t="s">
        <v>6</v>
      </c>
      <c r="B17" t="s">
        <v>18</v>
      </c>
      <c r="C17" t="s">
        <v>10</v>
      </c>
      <c r="D17">
        <v>76.14</v>
      </c>
      <c r="E17">
        <v>59.84</v>
      </c>
      <c r="F17" t="s">
        <v>9</v>
      </c>
    </row>
    <row r="18" spans="1:6">
      <c r="A18" t="s">
        <v>6</v>
      </c>
      <c r="B18" t="s">
        <v>18</v>
      </c>
      <c r="C18" t="s">
        <v>12</v>
      </c>
      <c r="D18">
        <v>23.64</v>
      </c>
      <c r="E18">
        <v>26.83</v>
      </c>
      <c r="F18" t="s">
        <v>11</v>
      </c>
    </row>
    <row r="19" spans="1:6">
      <c r="A19" t="s">
        <v>6</v>
      </c>
      <c r="B19" t="s">
        <v>18</v>
      </c>
      <c r="C19" t="s">
        <v>13</v>
      </c>
      <c r="D19">
        <v>36.56</v>
      </c>
      <c r="E19">
        <v>32.25</v>
      </c>
      <c r="F19" t="s">
        <v>9</v>
      </c>
    </row>
    <row r="20" spans="1:6">
      <c r="A20" t="s">
        <v>6</v>
      </c>
      <c r="B20" t="s">
        <v>18</v>
      </c>
      <c r="C20" t="s">
        <v>14</v>
      </c>
      <c r="D20">
        <v>39.94</v>
      </c>
      <c r="E20">
        <v>56.51</v>
      </c>
      <c r="F20" t="s">
        <v>11</v>
      </c>
    </row>
    <row r="21" spans="1:6">
      <c r="A21" t="s">
        <v>6</v>
      </c>
      <c r="B21" t="s">
        <v>18</v>
      </c>
      <c r="C21" t="s">
        <v>15</v>
      </c>
      <c r="D21">
        <v>63.26</v>
      </c>
      <c r="E21">
        <v>57.92</v>
      </c>
      <c r="F21" t="s">
        <v>9</v>
      </c>
    </row>
    <row r="22" spans="1:6">
      <c r="A22" t="s">
        <v>6</v>
      </c>
      <c r="B22" t="s">
        <v>18</v>
      </c>
      <c r="C22" t="s">
        <v>16</v>
      </c>
      <c r="D22">
        <v>62.4</v>
      </c>
      <c r="E22">
        <v>55.93</v>
      </c>
      <c r="F22" t="s">
        <v>9</v>
      </c>
    </row>
    <row r="23" spans="1:6">
      <c r="A23" t="s">
        <v>6</v>
      </c>
      <c r="B23" t="s">
        <v>19</v>
      </c>
      <c r="C23" t="s">
        <v>8</v>
      </c>
      <c r="D23">
        <v>39.24</v>
      </c>
      <c r="E23">
        <v>53.22</v>
      </c>
      <c r="F23" t="s">
        <v>11</v>
      </c>
    </row>
    <row r="24" spans="1:6">
      <c r="A24" t="s">
        <v>6</v>
      </c>
      <c r="B24" t="s">
        <v>19</v>
      </c>
      <c r="C24" t="s">
        <v>10</v>
      </c>
      <c r="D24">
        <v>4.25</v>
      </c>
      <c r="E24">
        <v>5.51</v>
      </c>
      <c r="F24" t="s">
        <v>11</v>
      </c>
    </row>
    <row r="25" spans="1:6">
      <c r="A25" t="s">
        <v>6</v>
      </c>
      <c r="B25" t="s">
        <v>19</v>
      </c>
      <c r="C25" t="s">
        <v>12</v>
      </c>
      <c r="D25">
        <v>32.04</v>
      </c>
      <c r="E25">
        <v>36.24</v>
      </c>
      <c r="F25" t="s">
        <v>11</v>
      </c>
    </row>
    <row r="26" spans="1:6">
      <c r="A26" t="s">
        <v>6</v>
      </c>
      <c r="B26" t="s">
        <v>19</v>
      </c>
      <c r="C26" t="s">
        <v>13</v>
      </c>
      <c r="D26">
        <v>10.28</v>
      </c>
      <c r="E26">
        <v>10.9</v>
      </c>
      <c r="F26" t="s">
        <v>11</v>
      </c>
    </row>
    <row r="27" spans="1:6">
      <c r="A27" t="s">
        <v>6</v>
      </c>
      <c r="B27" t="s">
        <v>19</v>
      </c>
      <c r="C27" t="s">
        <v>14</v>
      </c>
      <c r="D27">
        <v>59.15</v>
      </c>
      <c r="E27">
        <v>59.06</v>
      </c>
      <c r="F27" t="s">
        <v>9</v>
      </c>
    </row>
    <row r="28" spans="1:6">
      <c r="A28" t="s">
        <v>6</v>
      </c>
      <c r="B28" t="s">
        <v>19</v>
      </c>
      <c r="C28" t="s">
        <v>15</v>
      </c>
      <c r="D28">
        <v>25.55</v>
      </c>
      <c r="E28">
        <v>20.65</v>
      </c>
      <c r="F28" t="s">
        <v>9</v>
      </c>
    </row>
    <row r="29" spans="1:6">
      <c r="A29" t="s">
        <v>6</v>
      </c>
      <c r="B29" t="s">
        <v>19</v>
      </c>
      <c r="C29" t="s">
        <v>16</v>
      </c>
      <c r="D29">
        <v>66.650000000000006</v>
      </c>
      <c r="E29">
        <v>59.4</v>
      </c>
      <c r="F29" t="s">
        <v>9</v>
      </c>
    </row>
    <row r="30" spans="1:6">
      <c r="A30" t="s">
        <v>6</v>
      </c>
      <c r="B30" t="s">
        <v>20</v>
      </c>
      <c r="C30" t="s">
        <v>8</v>
      </c>
      <c r="D30">
        <v>30.92</v>
      </c>
      <c r="E30">
        <v>34.880000000000003</v>
      </c>
      <c r="F30" t="s">
        <v>11</v>
      </c>
    </row>
    <row r="31" spans="1:6">
      <c r="A31" t="s">
        <v>6</v>
      </c>
      <c r="B31" t="s">
        <v>20</v>
      </c>
      <c r="C31" t="s">
        <v>10</v>
      </c>
      <c r="D31">
        <v>24.79</v>
      </c>
      <c r="E31">
        <v>32.17</v>
      </c>
      <c r="F31" t="s">
        <v>11</v>
      </c>
    </row>
    <row r="32" spans="1:6">
      <c r="A32" t="s">
        <v>6</v>
      </c>
      <c r="B32" t="s">
        <v>20</v>
      </c>
      <c r="C32" t="s">
        <v>12</v>
      </c>
      <c r="D32">
        <v>70.760000000000005</v>
      </c>
      <c r="E32">
        <v>56.62</v>
      </c>
      <c r="F32" t="s">
        <v>9</v>
      </c>
    </row>
    <row r="33" spans="1:6">
      <c r="A33" t="s">
        <v>6</v>
      </c>
      <c r="B33" t="s">
        <v>20</v>
      </c>
      <c r="C33" t="s">
        <v>13</v>
      </c>
      <c r="D33">
        <v>45.44</v>
      </c>
      <c r="E33">
        <v>51.81</v>
      </c>
      <c r="F33" t="s">
        <v>11</v>
      </c>
    </row>
    <row r="34" spans="1:6">
      <c r="A34" t="s">
        <v>6</v>
      </c>
      <c r="B34" t="s">
        <v>20</v>
      </c>
      <c r="C34" t="s">
        <v>14</v>
      </c>
      <c r="D34">
        <v>32.85</v>
      </c>
      <c r="E34">
        <v>30.74</v>
      </c>
      <c r="F34" t="s">
        <v>9</v>
      </c>
    </row>
    <row r="35" spans="1:6">
      <c r="A35" t="s">
        <v>6</v>
      </c>
      <c r="B35" t="s">
        <v>20</v>
      </c>
      <c r="C35" t="s">
        <v>15</v>
      </c>
      <c r="D35">
        <v>12.97</v>
      </c>
      <c r="E35">
        <v>15.6</v>
      </c>
      <c r="F35" t="s">
        <v>11</v>
      </c>
    </row>
    <row r="36" spans="1:6">
      <c r="A36" t="s">
        <v>6</v>
      </c>
      <c r="B36" t="s">
        <v>20</v>
      </c>
      <c r="C36" t="s">
        <v>16</v>
      </c>
      <c r="D36">
        <v>8.74</v>
      </c>
      <c r="E36">
        <v>11.2</v>
      </c>
      <c r="F36" t="s">
        <v>11</v>
      </c>
    </row>
    <row r="37" spans="1:6">
      <c r="A37" t="s">
        <v>6</v>
      </c>
      <c r="B37" t="s">
        <v>21</v>
      </c>
      <c r="C37" t="s">
        <v>8</v>
      </c>
      <c r="D37">
        <v>11.04</v>
      </c>
      <c r="E37">
        <v>13.94</v>
      </c>
      <c r="F37" t="s">
        <v>11</v>
      </c>
    </row>
    <row r="38" spans="1:6">
      <c r="A38" t="s">
        <v>6</v>
      </c>
      <c r="B38" t="s">
        <v>21</v>
      </c>
      <c r="C38" t="s">
        <v>10</v>
      </c>
      <c r="D38">
        <v>34.729999999999997</v>
      </c>
      <c r="E38">
        <v>30.24</v>
      </c>
      <c r="F38" t="s">
        <v>9</v>
      </c>
    </row>
    <row r="39" spans="1:6">
      <c r="A39" t="s">
        <v>6</v>
      </c>
      <c r="B39" t="s">
        <v>21</v>
      </c>
      <c r="C39" t="s">
        <v>12</v>
      </c>
      <c r="D39">
        <v>20.36</v>
      </c>
      <c r="E39">
        <v>19.149999999999999</v>
      </c>
      <c r="F39" t="s">
        <v>9</v>
      </c>
    </row>
    <row r="40" spans="1:6">
      <c r="A40" t="s">
        <v>6</v>
      </c>
      <c r="B40" t="s">
        <v>21</v>
      </c>
      <c r="C40" t="s">
        <v>13</v>
      </c>
      <c r="D40">
        <v>14.47</v>
      </c>
      <c r="E40">
        <v>15.24</v>
      </c>
      <c r="F40" t="s">
        <v>11</v>
      </c>
    </row>
    <row r="41" spans="1:6">
      <c r="A41" t="s">
        <v>6</v>
      </c>
      <c r="B41" t="s">
        <v>21</v>
      </c>
      <c r="C41" t="s">
        <v>14</v>
      </c>
      <c r="D41">
        <v>46.85</v>
      </c>
      <c r="E41">
        <v>45.51</v>
      </c>
      <c r="F41" t="s">
        <v>9</v>
      </c>
    </row>
    <row r="42" spans="1:6">
      <c r="A42" t="s">
        <v>6</v>
      </c>
      <c r="B42" t="s">
        <v>21</v>
      </c>
      <c r="C42" t="s">
        <v>15</v>
      </c>
      <c r="D42">
        <v>47.64</v>
      </c>
      <c r="E42">
        <v>48.49</v>
      </c>
      <c r="F42" t="s">
        <v>11</v>
      </c>
    </row>
    <row r="43" spans="1:6">
      <c r="A43" t="s">
        <v>6</v>
      </c>
      <c r="B43" t="s">
        <v>21</v>
      </c>
      <c r="C43" t="s">
        <v>16</v>
      </c>
      <c r="D43">
        <v>37.049999999999997</v>
      </c>
      <c r="E43">
        <v>36.229999999999997</v>
      </c>
      <c r="F43" t="s">
        <v>9</v>
      </c>
    </row>
    <row r="44" spans="1:6">
      <c r="A44" t="s">
        <v>22</v>
      </c>
      <c r="B44" t="s">
        <v>7</v>
      </c>
      <c r="C44" t="s">
        <v>8</v>
      </c>
      <c r="D44">
        <v>17.54</v>
      </c>
      <c r="E44">
        <v>15.97</v>
      </c>
      <c r="F44" t="s">
        <v>9</v>
      </c>
    </row>
    <row r="45" spans="1:6">
      <c r="A45" t="s">
        <v>22</v>
      </c>
      <c r="B45" t="s">
        <v>7</v>
      </c>
      <c r="C45" t="s">
        <v>10</v>
      </c>
      <c r="D45">
        <v>48.22</v>
      </c>
      <c r="E45">
        <v>58.02</v>
      </c>
      <c r="F45" t="s">
        <v>11</v>
      </c>
    </row>
    <row r="46" spans="1:6">
      <c r="A46" t="s">
        <v>22</v>
      </c>
      <c r="B46" t="s">
        <v>7</v>
      </c>
      <c r="C46" t="s">
        <v>12</v>
      </c>
      <c r="D46">
        <v>19.23</v>
      </c>
      <c r="E46">
        <v>22.66</v>
      </c>
      <c r="F46" t="s">
        <v>11</v>
      </c>
    </row>
    <row r="47" spans="1:6">
      <c r="A47" t="s">
        <v>22</v>
      </c>
      <c r="B47" t="s">
        <v>7</v>
      </c>
      <c r="C47" t="s">
        <v>13</v>
      </c>
      <c r="D47">
        <v>46.71</v>
      </c>
      <c r="E47">
        <v>40.520000000000003</v>
      </c>
      <c r="F47" t="s">
        <v>9</v>
      </c>
    </row>
    <row r="48" spans="1:6">
      <c r="A48" t="s">
        <v>22</v>
      </c>
      <c r="B48" t="s">
        <v>7</v>
      </c>
      <c r="C48" t="s">
        <v>14</v>
      </c>
      <c r="D48">
        <v>67.239999999999995</v>
      </c>
      <c r="E48">
        <v>54.94</v>
      </c>
      <c r="F48" t="s">
        <v>9</v>
      </c>
    </row>
    <row r="49" spans="1:6">
      <c r="A49" t="s">
        <v>22</v>
      </c>
      <c r="B49" t="s">
        <v>7</v>
      </c>
      <c r="C49" t="s">
        <v>15</v>
      </c>
      <c r="D49">
        <v>7.43</v>
      </c>
      <c r="E49">
        <v>9.92</v>
      </c>
      <c r="F49" t="s">
        <v>11</v>
      </c>
    </row>
    <row r="50" spans="1:6">
      <c r="A50" t="s">
        <v>22</v>
      </c>
      <c r="B50" t="s">
        <v>7</v>
      </c>
      <c r="C50" t="s">
        <v>16</v>
      </c>
      <c r="D50">
        <v>35.409999999999997</v>
      </c>
      <c r="E50">
        <v>36.58</v>
      </c>
      <c r="F50" t="s">
        <v>11</v>
      </c>
    </row>
    <row r="51" spans="1:6">
      <c r="A51" t="s">
        <v>22</v>
      </c>
      <c r="B51" t="s">
        <v>17</v>
      </c>
      <c r="C51" t="s">
        <v>8</v>
      </c>
      <c r="D51">
        <v>38.64</v>
      </c>
      <c r="E51">
        <v>34.43</v>
      </c>
      <c r="F51" t="s">
        <v>9</v>
      </c>
    </row>
    <row r="52" spans="1:6">
      <c r="A52" t="s">
        <v>22</v>
      </c>
      <c r="B52" t="s">
        <v>17</v>
      </c>
      <c r="C52" t="s">
        <v>10</v>
      </c>
      <c r="D52">
        <v>33.44</v>
      </c>
      <c r="E52">
        <v>44.77</v>
      </c>
      <c r="F52" t="s">
        <v>11</v>
      </c>
    </row>
    <row r="53" spans="1:6">
      <c r="A53" t="s">
        <v>22</v>
      </c>
      <c r="B53" t="s">
        <v>17</v>
      </c>
      <c r="C53" t="s">
        <v>12</v>
      </c>
      <c r="D53">
        <v>58.7</v>
      </c>
      <c r="E53">
        <v>56.52</v>
      </c>
      <c r="F53" t="s">
        <v>9</v>
      </c>
    </row>
    <row r="54" spans="1:6">
      <c r="A54" t="s">
        <v>22</v>
      </c>
      <c r="B54" t="s">
        <v>17</v>
      </c>
      <c r="C54" t="s">
        <v>13</v>
      </c>
      <c r="D54">
        <v>40.71</v>
      </c>
      <c r="E54">
        <v>55.23</v>
      </c>
      <c r="F54" t="s">
        <v>11</v>
      </c>
    </row>
    <row r="55" spans="1:6">
      <c r="A55" t="s">
        <v>22</v>
      </c>
      <c r="B55" t="s">
        <v>17</v>
      </c>
      <c r="C55" t="s">
        <v>14</v>
      </c>
      <c r="D55">
        <v>15.05</v>
      </c>
      <c r="E55">
        <v>14.63</v>
      </c>
      <c r="F55" t="s">
        <v>9</v>
      </c>
    </row>
    <row r="56" spans="1:6">
      <c r="A56" t="s">
        <v>22</v>
      </c>
      <c r="B56" t="s">
        <v>17</v>
      </c>
      <c r="C56" t="s">
        <v>15</v>
      </c>
      <c r="D56">
        <v>53.7</v>
      </c>
      <c r="E56">
        <v>53.52</v>
      </c>
      <c r="F56" t="s">
        <v>9</v>
      </c>
    </row>
    <row r="57" spans="1:6">
      <c r="A57" t="s">
        <v>22</v>
      </c>
      <c r="B57" t="s">
        <v>17</v>
      </c>
      <c r="C57" t="s">
        <v>16</v>
      </c>
      <c r="D57">
        <v>15.31</v>
      </c>
      <c r="E57">
        <v>14.67</v>
      </c>
      <c r="F57" t="s">
        <v>9</v>
      </c>
    </row>
    <row r="58" spans="1:6">
      <c r="A58" t="s">
        <v>22</v>
      </c>
      <c r="B58" t="s">
        <v>18</v>
      </c>
      <c r="C58" t="s">
        <v>8</v>
      </c>
      <c r="D58">
        <v>43.9</v>
      </c>
      <c r="E58">
        <v>55.58</v>
      </c>
      <c r="F58" t="s">
        <v>11</v>
      </c>
    </row>
    <row r="59" spans="1:6">
      <c r="A59" t="s">
        <v>22</v>
      </c>
      <c r="B59" t="s">
        <v>18</v>
      </c>
      <c r="C59" t="s">
        <v>10</v>
      </c>
      <c r="D59">
        <v>53.67</v>
      </c>
      <c r="E59">
        <v>59.84</v>
      </c>
      <c r="F59" t="s">
        <v>11</v>
      </c>
    </row>
    <row r="60" spans="1:6">
      <c r="A60" t="s">
        <v>22</v>
      </c>
      <c r="B60" t="s">
        <v>18</v>
      </c>
      <c r="C60" t="s">
        <v>12</v>
      </c>
      <c r="D60">
        <v>27.16</v>
      </c>
      <c r="E60">
        <v>26.83</v>
      </c>
      <c r="F60" t="s">
        <v>9</v>
      </c>
    </row>
    <row r="61" spans="1:6">
      <c r="A61" t="s">
        <v>22</v>
      </c>
      <c r="B61" t="s">
        <v>18</v>
      </c>
      <c r="C61" t="s">
        <v>13</v>
      </c>
      <c r="D61">
        <v>24.82</v>
      </c>
      <c r="E61">
        <v>32.25</v>
      </c>
      <c r="F61" t="s">
        <v>11</v>
      </c>
    </row>
    <row r="62" spans="1:6">
      <c r="A62" t="s">
        <v>22</v>
      </c>
      <c r="B62" t="s">
        <v>18</v>
      </c>
      <c r="C62" t="s">
        <v>14</v>
      </c>
      <c r="D62">
        <v>46.52</v>
      </c>
      <c r="E62">
        <v>56.51</v>
      </c>
      <c r="F62" t="s">
        <v>11</v>
      </c>
    </row>
    <row r="63" spans="1:6">
      <c r="A63" t="s">
        <v>22</v>
      </c>
      <c r="B63" t="s">
        <v>18</v>
      </c>
      <c r="C63" t="s">
        <v>15</v>
      </c>
      <c r="D63">
        <v>60.81</v>
      </c>
      <c r="E63">
        <v>57.92</v>
      </c>
      <c r="F63" t="s">
        <v>9</v>
      </c>
    </row>
    <row r="64" spans="1:6">
      <c r="A64" t="s">
        <v>22</v>
      </c>
      <c r="B64" t="s">
        <v>18</v>
      </c>
      <c r="C64" t="s">
        <v>16</v>
      </c>
      <c r="D64">
        <v>42.2</v>
      </c>
      <c r="E64">
        <v>55.93</v>
      </c>
      <c r="F64" t="s">
        <v>11</v>
      </c>
    </row>
    <row r="65" spans="1:6">
      <c r="A65" t="s">
        <v>22</v>
      </c>
      <c r="B65" t="s">
        <v>19</v>
      </c>
      <c r="C65" t="s">
        <v>8</v>
      </c>
      <c r="D65">
        <v>53.55</v>
      </c>
      <c r="E65">
        <v>53.22</v>
      </c>
      <c r="F65" t="s">
        <v>9</v>
      </c>
    </row>
    <row r="66" spans="1:6">
      <c r="A66" t="s">
        <v>22</v>
      </c>
      <c r="B66" t="s">
        <v>19</v>
      </c>
      <c r="C66" t="s">
        <v>10</v>
      </c>
      <c r="D66">
        <v>6.53</v>
      </c>
      <c r="E66">
        <v>5.51</v>
      </c>
      <c r="F66" t="s">
        <v>9</v>
      </c>
    </row>
    <row r="67" spans="1:6">
      <c r="A67" t="s">
        <v>22</v>
      </c>
      <c r="B67" t="s">
        <v>19</v>
      </c>
      <c r="C67" t="s">
        <v>12</v>
      </c>
      <c r="D67">
        <v>35.229999999999997</v>
      </c>
      <c r="E67">
        <v>36.24</v>
      </c>
      <c r="F67" t="s">
        <v>11</v>
      </c>
    </row>
    <row r="68" spans="1:6">
      <c r="A68" t="s">
        <v>22</v>
      </c>
      <c r="B68" t="s">
        <v>19</v>
      </c>
      <c r="C68" t="s">
        <v>13</v>
      </c>
      <c r="D68">
        <v>10.99</v>
      </c>
      <c r="E68">
        <v>10.9</v>
      </c>
      <c r="F68" t="s">
        <v>9</v>
      </c>
    </row>
    <row r="69" spans="1:6">
      <c r="A69" t="s">
        <v>22</v>
      </c>
      <c r="B69" t="s">
        <v>19</v>
      </c>
      <c r="C69" t="s">
        <v>14</v>
      </c>
      <c r="D69">
        <v>57.53</v>
      </c>
      <c r="E69">
        <v>59.06</v>
      </c>
      <c r="F69" t="s">
        <v>11</v>
      </c>
    </row>
    <row r="70" spans="1:6">
      <c r="A70" t="s">
        <v>22</v>
      </c>
      <c r="B70" t="s">
        <v>19</v>
      </c>
      <c r="C70" t="s">
        <v>15</v>
      </c>
      <c r="D70">
        <v>15.17</v>
      </c>
      <c r="E70">
        <v>20.65</v>
      </c>
      <c r="F70" t="s">
        <v>11</v>
      </c>
    </row>
    <row r="71" spans="1:6">
      <c r="A71" t="s">
        <v>22</v>
      </c>
      <c r="B71" t="s">
        <v>19</v>
      </c>
      <c r="C71" t="s">
        <v>16</v>
      </c>
      <c r="D71">
        <v>58.06</v>
      </c>
      <c r="E71">
        <v>59.4</v>
      </c>
      <c r="F71" t="s">
        <v>11</v>
      </c>
    </row>
    <row r="72" spans="1:6">
      <c r="A72" t="s">
        <v>22</v>
      </c>
      <c r="B72" t="s">
        <v>20</v>
      </c>
      <c r="C72" t="s">
        <v>8</v>
      </c>
      <c r="D72">
        <v>41.3</v>
      </c>
      <c r="E72">
        <v>34.880000000000003</v>
      </c>
      <c r="F72" t="s">
        <v>9</v>
      </c>
    </row>
    <row r="73" spans="1:6">
      <c r="A73" t="s">
        <v>22</v>
      </c>
      <c r="B73" t="s">
        <v>20</v>
      </c>
      <c r="C73" t="s">
        <v>10</v>
      </c>
      <c r="D73">
        <v>36.479999999999997</v>
      </c>
      <c r="E73">
        <v>32.17</v>
      </c>
      <c r="F73" t="s">
        <v>9</v>
      </c>
    </row>
    <row r="74" spans="1:6">
      <c r="A74" t="s">
        <v>22</v>
      </c>
      <c r="B74" t="s">
        <v>20</v>
      </c>
      <c r="C74" t="s">
        <v>12</v>
      </c>
      <c r="D74">
        <v>53.09</v>
      </c>
      <c r="E74">
        <v>56.62</v>
      </c>
      <c r="F74" t="s">
        <v>11</v>
      </c>
    </row>
    <row r="75" spans="1:6">
      <c r="A75" t="s">
        <v>22</v>
      </c>
      <c r="B75" t="s">
        <v>20</v>
      </c>
      <c r="C75" t="s">
        <v>13</v>
      </c>
      <c r="D75">
        <v>61.65</v>
      </c>
      <c r="E75">
        <v>51.81</v>
      </c>
      <c r="F75" t="s">
        <v>9</v>
      </c>
    </row>
    <row r="76" spans="1:6">
      <c r="A76" t="s">
        <v>22</v>
      </c>
      <c r="B76" t="s">
        <v>20</v>
      </c>
      <c r="C76" t="s">
        <v>14</v>
      </c>
      <c r="D76">
        <v>35.270000000000003</v>
      </c>
      <c r="E76">
        <v>30.74</v>
      </c>
      <c r="F76" t="s">
        <v>9</v>
      </c>
    </row>
    <row r="77" spans="1:6">
      <c r="A77" t="s">
        <v>22</v>
      </c>
      <c r="B77" t="s">
        <v>20</v>
      </c>
      <c r="C77" t="s">
        <v>15</v>
      </c>
      <c r="D77">
        <v>16.329999999999998</v>
      </c>
      <c r="E77">
        <v>15.6</v>
      </c>
      <c r="F77" t="s">
        <v>9</v>
      </c>
    </row>
    <row r="78" spans="1:6">
      <c r="A78" t="s">
        <v>22</v>
      </c>
      <c r="B78" t="s">
        <v>20</v>
      </c>
      <c r="C78" t="s">
        <v>16</v>
      </c>
      <c r="D78">
        <v>8.14</v>
      </c>
      <c r="E78">
        <v>11.2</v>
      </c>
      <c r="F78" t="s">
        <v>11</v>
      </c>
    </row>
    <row r="79" spans="1:6">
      <c r="A79" t="s">
        <v>22</v>
      </c>
      <c r="B79" t="s">
        <v>21</v>
      </c>
      <c r="C79" t="s">
        <v>8</v>
      </c>
      <c r="D79">
        <v>12.64</v>
      </c>
      <c r="E79">
        <v>13.94</v>
      </c>
      <c r="F79" t="s">
        <v>11</v>
      </c>
    </row>
    <row r="80" spans="1:6">
      <c r="A80" t="s">
        <v>22</v>
      </c>
      <c r="B80" t="s">
        <v>21</v>
      </c>
      <c r="C80" t="s">
        <v>10</v>
      </c>
      <c r="D80">
        <v>22.32</v>
      </c>
      <c r="E80">
        <v>30.24</v>
      </c>
      <c r="F80" t="s">
        <v>11</v>
      </c>
    </row>
    <row r="81" spans="1:6">
      <c r="A81" t="s">
        <v>22</v>
      </c>
      <c r="B81" t="s">
        <v>21</v>
      </c>
      <c r="C81" t="s">
        <v>12</v>
      </c>
      <c r="D81">
        <v>24.83</v>
      </c>
      <c r="E81">
        <v>19.149999999999999</v>
      </c>
      <c r="F81" t="s">
        <v>9</v>
      </c>
    </row>
    <row r="82" spans="1:6">
      <c r="A82" t="s">
        <v>22</v>
      </c>
      <c r="B82" t="s">
        <v>21</v>
      </c>
      <c r="C82" t="s">
        <v>13</v>
      </c>
      <c r="D82">
        <v>19.21</v>
      </c>
      <c r="E82">
        <v>15.24</v>
      </c>
      <c r="F82" t="s">
        <v>9</v>
      </c>
    </row>
    <row r="83" spans="1:6">
      <c r="A83" t="s">
        <v>22</v>
      </c>
      <c r="B83" t="s">
        <v>21</v>
      </c>
      <c r="C83" t="s">
        <v>14</v>
      </c>
      <c r="D83">
        <v>33.74</v>
      </c>
      <c r="E83">
        <v>45.51</v>
      </c>
      <c r="F83" t="s">
        <v>11</v>
      </c>
    </row>
    <row r="84" spans="1:6">
      <c r="A84" t="s">
        <v>22</v>
      </c>
      <c r="B84" t="s">
        <v>21</v>
      </c>
      <c r="C84" t="s">
        <v>15</v>
      </c>
      <c r="D84">
        <v>61.11</v>
      </c>
      <c r="E84">
        <v>48.49</v>
      </c>
      <c r="F84" t="s">
        <v>9</v>
      </c>
    </row>
    <row r="85" spans="1:6">
      <c r="A85" t="s">
        <v>22</v>
      </c>
      <c r="B85" t="s">
        <v>21</v>
      </c>
      <c r="C85" t="s">
        <v>16</v>
      </c>
      <c r="D85">
        <v>26.05</v>
      </c>
      <c r="E85">
        <v>36.229999999999997</v>
      </c>
      <c r="F85" t="s">
        <v>11</v>
      </c>
    </row>
    <row r="86" spans="1:6">
      <c r="A86" t="s">
        <v>23</v>
      </c>
      <c r="B86" t="s">
        <v>7</v>
      </c>
      <c r="C86" t="s">
        <v>8</v>
      </c>
      <c r="D86">
        <v>15.1</v>
      </c>
      <c r="E86">
        <v>15.97</v>
      </c>
      <c r="F86" t="s">
        <v>11</v>
      </c>
    </row>
    <row r="87" spans="1:6">
      <c r="A87" t="s">
        <v>23</v>
      </c>
      <c r="B87" t="s">
        <v>7</v>
      </c>
      <c r="C87" t="s">
        <v>10</v>
      </c>
      <c r="D87">
        <v>67.38</v>
      </c>
      <c r="E87">
        <v>58.02</v>
      </c>
      <c r="F87" t="s">
        <v>9</v>
      </c>
    </row>
    <row r="88" spans="1:6">
      <c r="A88" t="s">
        <v>23</v>
      </c>
      <c r="B88" t="s">
        <v>7</v>
      </c>
      <c r="C88" t="s">
        <v>12</v>
      </c>
      <c r="D88">
        <v>26.27</v>
      </c>
      <c r="E88">
        <v>22.66</v>
      </c>
      <c r="F88" t="s">
        <v>9</v>
      </c>
    </row>
    <row r="89" spans="1:6">
      <c r="A89" t="s">
        <v>23</v>
      </c>
      <c r="B89" t="s">
        <v>7</v>
      </c>
      <c r="C89" t="s">
        <v>13</v>
      </c>
      <c r="D89">
        <v>52.15</v>
      </c>
      <c r="E89">
        <v>40.520000000000003</v>
      </c>
      <c r="F89" t="s">
        <v>9</v>
      </c>
    </row>
    <row r="90" spans="1:6">
      <c r="A90" t="s">
        <v>23</v>
      </c>
      <c r="B90" t="s">
        <v>7</v>
      </c>
      <c r="C90" t="s">
        <v>14</v>
      </c>
      <c r="D90">
        <v>59.75</v>
      </c>
      <c r="E90">
        <v>54.94</v>
      </c>
      <c r="F90" t="s">
        <v>9</v>
      </c>
    </row>
    <row r="91" spans="1:6">
      <c r="A91" t="s">
        <v>23</v>
      </c>
      <c r="B91" t="s">
        <v>7</v>
      </c>
      <c r="C91" t="s">
        <v>15</v>
      </c>
      <c r="D91">
        <v>9.4499999999999993</v>
      </c>
      <c r="E91">
        <v>9.92</v>
      </c>
      <c r="F91" t="s">
        <v>11</v>
      </c>
    </row>
    <row r="92" spans="1:6">
      <c r="A92" t="s">
        <v>23</v>
      </c>
      <c r="B92" t="s">
        <v>7</v>
      </c>
      <c r="C92" t="s">
        <v>16</v>
      </c>
      <c r="D92">
        <v>47.4</v>
      </c>
      <c r="E92">
        <v>36.58</v>
      </c>
      <c r="F92" t="s">
        <v>9</v>
      </c>
    </row>
    <row r="93" spans="1:6">
      <c r="A93" t="s">
        <v>23</v>
      </c>
      <c r="B93" t="s">
        <v>17</v>
      </c>
      <c r="C93" t="s">
        <v>8</v>
      </c>
      <c r="D93">
        <v>32</v>
      </c>
      <c r="E93">
        <v>34.43</v>
      </c>
      <c r="F93" t="s">
        <v>11</v>
      </c>
    </row>
    <row r="94" spans="1:6">
      <c r="A94" t="s">
        <v>23</v>
      </c>
      <c r="B94" t="s">
        <v>17</v>
      </c>
      <c r="C94" t="s">
        <v>10</v>
      </c>
      <c r="D94">
        <v>54.7</v>
      </c>
      <c r="E94">
        <v>44.77</v>
      </c>
      <c r="F94" t="s">
        <v>9</v>
      </c>
    </row>
    <row r="95" spans="1:6">
      <c r="A95" t="s">
        <v>23</v>
      </c>
      <c r="B95" t="s">
        <v>17</v>
      </c>
      <c r="C95" t="s">
        <v>12</v>
      </c>
      <c r="D95">
        <v>70.31</v>
      </c>
      <c r="E95">
        <v>56.52</v>
      </c>
      <c r="F95" t="s">
        <v>9</v>
      </c>
    </row>
    <row r="96" spans="1:6">
      <c r="A96" t="s">
        <v>23</v>
      </c>
      <c r="B96" t="s">
        <v>17</v>
      </c>
      <c r="C96" t="s">
        <v>13</v>
      </c>
      <c r="D96">
        <v>51.11</v>
      </c>
      <c r="E96">
        <v>55.23</v>
      </c>
      <c r="F96" t="s">
        <v>11</v>
      </c>
    </row>
    <row r="97" spans="1:6">
      <c r="A97" t="s">
        <v>23</v>
      </c>
      <c r="B97" t="s">
        <v>17</v>
      </c>
      <c r="C97" t="s">
        <v>14</v>
      </c>
      <c r="D97">
        <v>16.23</v>
      </c>
      <c r="E97">
        <v>14.63</v>
      </c>
      <c r="F97" t="s">
        <v>9</v>
      </c>
    </row>
    <row r="98" spans="1:6">
      <c r="A98" t="s">
        <v>23</v>
      </c>
      <c r="B98" t="s">
        <v>17</v>
      </c>
      <c r="C98" t="s">
        <v>15</v>
      </c>
      <c r="D98">
        <v>58.72</v>
      </c>
      <c r="E98">
        <v>53.52</v>
      </c>
      <c r="F98" t="s">
        <v>9</v>
      </c>
    </row>
    <row r="99" spans="1:6">
      <c r="A99" t="s">
        <v>23</v>
      </c>
      <c r="B99" t="s">
        <v>17</v>
      </c>
      <c r="C99" t="s">
        <v>16</v>
      </c>
      <c r="D99">
        <v>15.02</v>
      </c>
      <c r="E99">
        <v>14.67</v>
      </c>
      <c r="F99" t="s">
        <v>9</v>
      </c>
    </row>
    <row r="100" spans="1:6">
      <c r="A100" t="s">
        <v>23</v>
      </c>
      <c r="B100" t="s">
        <v>18</v>
      </c>
      <c r="C100" t="s">
        <v>8</v>
      </c>
      <c r="D100">
        <v>60.7</v>
      </c>
      <c r="E100">
        <v>55.58</v>
      </c>
      <c r="F100" t="s">
        <v>9</v>
      </c>
    </row>
    <row r="101" spans="1:6">
      <c r="A101" t="s">
        <v>23</v>
      </c>
      <c r="B101" t="s">
        <v>18</v>
      </c>
      <c r="C101" t="s">
        <v>10</v>
      </c>
      <c r="D101">
        <v>54.37</v>
      </c>
      <c r="E101">
        <v>59.84</v>
      </c>
      <c r="F101" t="s">
        <v>11</v>
      </c>
    </row>
    <row r="102" spans="1:6">
      <c r="A102" t="s">
        <v>23</v>
      </c>
      <c r="B102" t="s">
        <v>18</v>
      </c>
      <c r="C102" t="s">
        <v>12</v>
      </c>
      <c r="D102">
        <v>21.65</v>
      </c>
      <c r="E102">
        <v>26.83</v>
      </c>
      <c r="F102" t="s">
        <v>11</v>
      </c>
    </row>
    <row r="103" spans="1:6">
      <c r="A103" t="s">
        <v>23</v>
      </c>
      <c r="B103" t="s">
        <v>18</v>
      </c>
      <c r="C103" t="s">
        <v>13</v>
      </c>
      <c r="D103">
        <v>32.97</v>
      </c>
      <c r="E103">
        <v>32.25</v>
      </c>
      <c r="F103" t="s">
        <v>9</v>
      </c>
    </row>
    <row r="104" spans="1:6">
      <c r="A104" t="s">
        <v>23</v>
      </c>
      <c r="B104" t="s">
        <v>18</v>
      </c>
      <c r="C104" t="s">
        <v>14</v>
      </c>
      <c r="D104">
        <v>57.49</v>
      </c>
      <c r="E104">
        <v>56.51</v>
      </c>
      <c r="F104" t="s">
        <v>9</v>
      </c>
    </row>
    <row r="105" spans="1:6">
      <c r="A105" t="s">
        <v>23</v>
      </c>
      <c r="B105" t="s">
        <v>18</v>
      </c>
      <c r="C105" t="s">
        <v>15</v>
      </c>
      <c r="D105">
        <v>65.84</v>
      </c>
      <c r="E105">
        <v>57.92</v>
      </c>
      <c r="F105" t="s">
        <v>9</v>
      </c>
    </row>
    <row r="106" spans="1:6">
      <c r="A106" t="s">
        <v>23</v>
      </c>
      <c r="B106" t="s">
        <v>18</v>
      </c>
      <c r="C106" t="s">
        <v>16</v>
      </c>
      <c r="D106">
        <v>46.62</v>
      </c>
      <c r="E106">
        <v>55.93</v>
      </c>
      <c r="F106" t="s">
        <v>11</v>
      </c>
    </row>
    <row r="107" spans="1:6">
      <c r="A107" t="s">
        <v>23</v>
      </c>
      <c r="B107" t="s">
        <v>19</v>
      </c>
      <c r="C107" t="s">
        <v>8</v>
      </c>
      <c r="D107">
        <v>37.36</v>
      </c>
      <c r="E107">
        <v>53.22</v>
      </c>
      <c r="F107" t="s">
        <v>11</v>
      </c>
    </row>
    <row r="108" spans="1:6">
      <c r="A108" t="s">
        <v>23</v>
      </c>
      <c r="B108" t="s">
        <v>19</v>
      </c>
      <c r="C108" t="s">
        <v>10</v>
      </c>
      <c r="D108">
        <v>3.93</v>
      </c>
      <c r="E108">
        <v>5.51</v>
      </c>
      <c r="F108" t="s">
        <v>11</v>
      </c>
    </row>
    <row r="109" spans="1:6">
      <c r="A109" t="s">
        <v>23</v>
      </c>
      <c r="B109" t="s">
        <v>19</v>
      </c>
      <c r="C109" t="s">
        <v>12</v>
      </c>
      <c r="D109">
        <v>31.86</v>
      </c>
      <c r="E109">
        <v>36.24</v>
      </c>
      <c r="F109" t="s">
        <v>11</v>
      </c>
    </row>
    <row r="110" spans="1:6">
      <c r="A110" t="s">
        <v>23</v>
      </c>
      <c r="B110" t="s">
        <v>19</v>
      </c>
      <c r="C110" t="s">
        <v>13</v>
      </c>
      <c r="D110">
        <v>12.03</v>
      </c>
      <c r="E110">
        <v>10.9</v>
      </c>
      <c r="F110" t="s">
        <v>9</v>
      </c>
    </row>
    <row r="111" spans="1:6">
      <c r="A111" t="s">
        <v>23</v>
      </c>
      <c r="B111" t="s">
        <v>19</v>
      </c>
      <c r="C111" t="s">
        <v>14</v>
      </c>
      <c r="D111">
        <v>60.63</v>
      </c>
      <c r="E111">
        <v>59.06</v>
      </c>
      <c r="F111" t="s">
        <v>9</v>
      </c>
    </row>
    <row r="112" spans="1:6">
      <c r="A112" t="s">
        <v>23</v>
      </c>
      <c r="B112" t="s">
        <v>19</v>
      </c>
      <c r="C112" t="s">
        <v>15</v>
      </c>
      <c r="D112">
        <v>21.05</v>
      </c>
      <c r="E112">
        <v>20.65</v>
      </c>
      <c r="F112" t="s">
        <v>9</v>
      </c>
    </row>
    <row r="113" spans="1:6">
      <c r="A113" t="s">
        <v>23</v>
      </c>
      <c r="B113" t="s">
        <v>19</v>
      </c>
      <c r="C113" t="s">
        <v>16</v>
      </c>
      <c r="D113">
        <v>70.92</v>
      </c>
      <c r="E113">
        <v>59.4</v>
      </c>
      <c r="F113" t="s">
        <v>9</v>
      </c>
    </row>
    <row r="114" spans="1:6">
      <c r="A114" t="s">
        <v>23</v>
      </c>
      <c r="B114" t="s">
        <v>20</v>
      </c>
      <c r="C114" t="s">
        <v>8</v>
      </c>
      <c r="D114">
        <v>29.6</v>
      </c>
      <c r="E114">
        <v>34.880000000000003</v>
      </c>
      <c r="F114" t="s">
        <v>11</v>
      </c>
    </row>
    <row r="115" spans="1:6">
      <c r="A115" t="s">
        <v>23</v>
      </c>
      <c r="B115" t="s">
        <v>20</v>
      </c>
      <c r="C115" t="s">
        <v>10</v>
      </c>
      <c r="D115">
        <v>29.2</v>
      </c>
      <c r="E115">
        <v>32.17</v>
      </c>
      <c r="F115" t="s">
        <v>11</v>
      </c>
    </row>
    <row r="116" spans="1:6">
      <c r="A116" t="s">
        <v>23</v>
      </c>
      <c r="B116" t="s">
        <v>20</v>
      </c>
      <c r="C116" t="s">
        <v>12</v>
      </c>
      <c r="D116">
        <v>49</v>
      </c>
      <c r="E116">
        <v>56.62</v>
      </c>
      <c r="F116" t="s">
        <v>11</v>
      </c>
    </row>
    <row r="117" spans="1:6">
      <c r="A117" t="s">
        <v>23</v>
      </c>
      <c r="B117" t="s">
        <v>20</v>
      </c>
      <c r="C117" t="s">
        <v>13</v>
      </c>
      <c r="D117">
        <v>65.41</v>
      </c>
      <c r="E117">
        <v>51.81</v>
      </c>
      <c r="F117" t="s">
        <v>9</v>
      </c>
    </row>
    <row r="118" spans="1:6">
      <c r="A118" t="s">
        <v>23</v>
      </c>
      <c r="B118" t="s">
        <v>20</v>
      </c>
      <c r="C118" t="s">
        <v>14</v>
      </c>
      <c r="D118">
        <v>34.89</v>
      </c>
      <c r="E118">
        <v>30.74</v>
      </c>
      <c r="F118" t="s">
        <v>9</v>
      </c>
    </row>
    <row r="119" spans="1:6">
      <c r="A119" t="s">
        <v>23</v>
      </c>
      <c r="B119" t="s">
        <v>20</v>
      </c>
      <c r="C119" t="s">
        <v>15</v>
      </c>
      <c r="D119">
        <v>11.98</v>
      </c>
      <c r="E119">
        <v>15.6</v>
      </c>
      <c r="F119" t="s">
        <v>11</v>
      </c>
    </row>
    <row r="120" spans="1:6">
      <c r="A120" t="s">
        <v>23</v>
      </c>
      <c r="B120" t="s">
        <v>20</v>
      </c>
      <c r="C120" t="s">
        <v>16</v>
      </c>
      <c r="D120">
        <v>13.28</v>
      </c>
      <c r="E120">
        <v>11.2</v>
      </c>
      <c r="F120" t="s">
        <v>9</v>
      </c>
    </row>
    <row r="121" spans="1:6">
      <c r="A121" t="s">
        <v>23</v>
      </c>
      <c r="B121" t="s">
        <v>21</v>
      </c>
      <c r="C121" t="s">
        <v>8</v>
      </c>
      <c r="D121">
        <v>13.26</v>
      </c>
      <c r="E121">
        <v>13.94</v>
      </c>
      <c r="F121" t="s">
        <v>11</v>
      </c>
    </row>
    <row r="122" spans="1:6">
      <c r="A122" t="s">
        <v>23</v>
      </c>
      <c r="B122" t="s">
        <v>21</v>
      </c>
      <c r="C122" t="s">
        <v>10</v>
      </c>
      <c r="D122">
        <v>35.07</v>
      </c>
      <c r="E122">
        <v>30.24</v>
      </c>
      <c r="F122" t="s">
        <v>9</v>
      </c>
    </row>
    <row r="123" spans="1:6">
      <c r="A123" t="s">
        <v>23</v>
      </c>
      <c r="B123" t="s">
        <v>21</v>
      </c>
      <c r="C123" t="s">
        <v>12</v>
      </c>
      <c r="D123">
        <v>23.56</v>
      </c>
      <c r="E123">
        <v>19.149999999999999</v>
      </c>
      <c r="F123" t="s">
        <v>9</v>
      </c>
    </row>
    <row r="124" spans="1:6">
      <c r="A124" t="s">
        <v>23</v>
      </c>
      <c r="B124" t="s">
        <v>21</v>
      </c>
      <c r="C124" t="s">
        <v>13</v>
      </c>
      <c r="D124">
        <v>10.81</v>
      </c>
      <c r="E124">
        <v>15.24</v>
      </c>
      <c r="F124" t="s">
        <v>11</v>
      </c>
    </row>
    <row r="125" spans="1:6">
      <c r="A125" t="s">
        <v>23</v>
      </c>
      <c r="B125" t="s">
        <v>21</v>
      </c>
      <c r="C125" t="s">
        <v>14</v>
      </c>
      <c r="D125">
        <v>37.479999999999997</v>
      </c>
      <c r="E125">
        <v>45.51</v>
      </c>
      <c r="F125" t="s">
        <v>11</v>
      </c>
    </row>
    <row r="126" spans="1:6">
      <c r="A126" t="s">
        <v>23</v>
      </c>
      <c r="B126" t="s">
        <v>21</v>
      </c>
      <c r="C126" t="s">
        <v>15</v>
      </c>
      <c r="D126">
        <v>36.880000000000003</v>
      </c>
      <c r="E126">
        <v>48.49</v>
      </c>
      <c r="F126" t="s">
        <v>11</v>
      </c>
    </row>
    <row r="127" spans="1:6">
      <c r="A127" t="s">
        <v>23</v>
      </c>
      <c r="B127" t="s">
        <v>21</v>
      </c>
      <c r="C127" t="s">
        <v>16</v>
      </c>
      <c r="D127">
        <v>26.09</v>
      </c>
      <c r="E127">
        <v>36.229999999999997</v>
      </c>
      <c r="F127" t="s">
        <v>11</v>
      </c>
    </row>
    <row r="128" spans="1:6">
      <c r="A128" t="s">
        <v>24</v>
      </c>
      <c r="B128" t="s">
        <v>7</v>
      </c>
      <c r="C128" t="s">
        <v>8</v>
      </c>
      <c r="D128">
        <v>16.91</v>
      </c>
      <c r="E128">
        <v>15.97</v>
      </c>
      <c r="F128" t="s">
        <v>9</v>
      </c>
    </row>
    <row r="129" spans="1:6">
      <c r="A129" t="s">
        <v>24</v>
      </c>
      <c r="B129" t="s">
        <v>7</v>
      </c>
      <c r="C129" t="s">
        <v>10</v>
      </c>
      <c r="D129">
        <v>65.099999999999994</v>
      </c>
      <c r="E129">
        <v>58.02</v>
      </c>
      <c r="F129" t="s">
        <v>9</v>
      </c>
    </row>
    <row r="130" spans="1:6">
      <c r="A130" t="s">
        <v>24</v>
      </c>
      <c r="B130" t="s">
        <v>7</v>
      </c>
      <c r="C130" t="s">
        <v>12</v>
      </c>
      <c r="D130">
        <v>16.52</v>
      </c>
      <c r="E130">
        <v>22.66</v>
      </c>
      <c r="F130" t="s">
        <v>11</v>
      </c>
    </row>
    <row r="131" spans="1:6">
      <c r="A131" t="s">
        <v>24</v>
      </c>
      <c r="B131" t="s">
        <v>7</v>
      </c>
      <c r="C131" t="s">
        <v>13</v>
      </c>
      <c r="D131">
        <v>46.37</v>
      </c>
      <c r="E131">
        <v>40.520000000000003</v>
      </c>
      <c r="F131" t="s">
        <v>9</v>
      </c>
    </row>
    <row r="132" spans="1:6">
      <c r="A132" t="s">
        <v>24</v>
      </c>
      <c r="B132" t="s">
        <v>7</v>
      </c>
      <c r="C132" t="s">
        <v>14</v>
      </c>
      <c r="D132">
        <v>51.72</v>
      </c>
      <c r="E132">
        <v>54.94</v>
      </c>
      <c r="F132" t="s">
        <v>11</v>
      </c>
    </row>
    <row r="133" spans="1:6">
      <c r="A133" t="s">
        <v>24</v>
      </c>
      <c r="B133" t="s">
        <v>7</v>
      </c>
      <c r="C133" t="s">
        <v>15</v>
      </c>
      <c r="D133">
        <v>8.34</v>
      </c>
      <c r="E133">
        <v>9.92</v>
      </c>
      <c r="F133" t="s">
        <v>11</v>
      </c>
    </row>
    <row r="134" spans="1:6">
      <c r="A134" t="s">
        <v>24</v>
      </c>
      <c r="B134" t="s">
        <v>7</v>
      </c>
      <c r="C134" t="s">
        <v>16</v>
      </c>
      <c r="D134">
        <v>30.37</v>
      </c>
      <c r="E134">
        <v>36.58</v>
      </c>
      <c r="F134" t="s">
        <v>11</v>
      </c>
    </row>
    <row r="135" spans="1:6">
      <c r="A135" t="s">
        <v>24</v>
      </c>
      <c r="B135" t="s">
        <v>17</v>
      </c>
      <c r="C135" t="s">
        <v>8</v>
      </c>
      <c r="D135">
        <v>41.94</v>
      </c>
      <c r="E135">
        <v>34.43</v>
      </c>
      <c r="F135" t="s">
        <v>9</v>
      </c>
    </row>
    <row r="136" spans="1:6">
      <c r="A136" t="s">
        <v>24</v>
      </c>
      <c r="B136" t="s">
        <v>17</v>
      </c>
      <c r="C136" t="s">
        <v>10</v>
      </c>
      <c r="D136">
        <v>32.86</v>
      </c>
      <c r="E136">
        <v>44.77</v>
      </c>
      <c r="F136" t="s">
        <v>11</v>
      </c>
    </row>
    <row r="137" spans="1:6">
      <c r="A137" t="s">
        <v>24</v>
      </c>
      <c r="B137" t="s">
        <v>17</v>
      </c>
      <c r="C137" t="s">
        <v>12</v>
      </c>
      <c r="D137">
        <v>56.65</v>
      </c>
      <c r="E137">
        <v>56.52</v>
      </c>
      <c r="F137" t="s">
        <v>9</v>
      </c>
    </row>
    <row r="138" spans="1:6">
      <c r="A138" t="s">
        <v>24</v>
      </c>
      <c r="B138" t="s">
        <v>17</v>
      </c>
      <c r="C138" t="s">
        <v>13</v>
      </c>
      <c r="D138">
        <v>48.25</v>
      </c>
      <c r="E138">
        <v>55.23</v>
      </c>
      <c r="F138" t="s">
        <v>11</v>
      </c>
    </row>
    <row r="139" spans="1:6">
      <c r="A139" t="s">
        <v>24</v>
      </c>
      <c r="B139" t="s">
        <v>17</v>
      </c>
      <c r="C139" t="s">
        <v>14</v>
      </c>
      <c r="D139">
        <v>17.399999999999999</v>
      </c>
      <c r="E139">
        <v>14.63</v>
      </c>
      <c r="F139" t="s">
        <v>9</v>
      </c>
    </row>
    <row r="140" spans="1:6">
      <c r="A140" t="s">
        <v>24</v>
      </c>
      <c r="B140" t="s">
        <v>17</v>
      </c>
      <c r="C140" t="s">
        <v>15</v>
      </c>
      <c r="D140">
        <v>60.95</v>
      </c>
      <c r="E140">
        <v>53.52</v>
      </c>
      <c r="F140" t="s">
        <v>9</v>
      </c>
    </row>
    <row r="141" spans="1:6">
      <c r="A141" t="s">
        <v>24</v>
      </c>
      <c r="B141" t="s">
        <v>17</v>
      </c>
      <c r="C141" t="s">
        <v>16</v>
      </c>
      <c r="D141">
        <v>13.08</v>
      </c>
      <c r="E141">
        <v>14.67</v>
      </c>
      <c r="F141" t="s">
        <v>11</v>
      </c>
    </row>
    <row r="142" spans="1:6">
      <c r="A142" t="s">
        <v>24</v>
      </c>
      <c r="B142" t="s">
        <v>18</v>
      </c>
      <c r="C142" t="s">
        <v>8</v>
      </c>
      <c r="D142">
        <v>58.85</v>
      </c>
      <c r="E142">
        <v>55.58</v>
      </c>
      <c r="F142" t="s">
        <v>9</v>
      </c>
    </row>
    <row r="143" spans="1:6">
      <c r="A143" t="s">
        <v>24</v>
      </c>
      <c r="B143" t="s">
        <v>18</v>
      </c>
      <c r="C143" t="s">
        <v>10</v>
      </c>
      <c r="D143">
        <v>66.03</v>
      </c>
      <c r="E143">
        <v>59.84</v>
      </c>
      <c r="F143" t="s">
        <v>9</v>
      </c>
    </row>
    <row r="144" spans="1:6">
      <c r="A144" t="s">
        <v>24</v>
      </c>
      <c r="B144" t="s">
        <v>18</v>
      </c>
      <c r="C144" t="s">
        <v>12</v>
      </c>
      <c r="D144">
        <v>23.94</v>
      </c>
      <c r="E144">
        <v>26.83</v>
      </c>
      <c r="F144" t="s">
        <v>11</v>
      </c>
    </row>
    <row r="145" spans="1:6">
      <c r="A145" t="s">
        <v>24</v>
      </c>
      <c r="B145" t="s">
        <v>18</v>
      </c>
      <c r="C145" t="s">
        <v>13</v>
      </c>
      <c r="D145">
        <v>28.41</v>
      </c>
      <c r="E145">
        <v>32.25</v>
      </c>
      <c r="F145" t="s">
        <v>11</v>
      </c>
    </row>
    <row r="146" spans="1:6">
      <c r="A146" t="s">
        <v>24</v>
      </c>
      <c r="B146" t="s">
        <v>18</v>
      </c>
      <c r="C146" t="s">
        <v>14</v>
      </c>
      <c r="D146">
        <v>44.41</v>
      </c>
      <c r="E146">
        <v>56.51</v>
      </c>
      <c r="F146" t="s">
        <v>11</v>
      </c>
    </row>
    <row r="147" spans="1:6">
      <c r="A147" t="s">
        <v>24</v>
      </c>
      <c r="B147" t="s">
        <v>18</v>
      </c>
      <c r="C147" t="s">
        <v>15</v>
      </c>
      <c r="D147">
        <v>63.49</v>
      </c>
      <c r="E147">
        <v>57.92</v>
      </c>
      <c r="F147" t="s">
        <v>9</v>
      </c>
    </row>
    <row r="148" spans="1:6">
      <c r="A148" t="s">
        <v>24</v>
      </c>
      <c r="B148" t="s">
        <v>18</v>
      </c>
      <c r="C148" t="s">
        <v>16</v>
      </c>
      <c r="D148">
        <v>46.57</v>
      </c>
      <c r="E148">
        <v>55.93</v>
      </c>
      <c r="F148" t="s">
        <v>11</v>
      </c>
    </row>
    <row r="149" spans="1:6">
      <c r="A149" t="s">
        <v>24</v>
      </c>
      <c r="B149" t="s">
        <v>19</v>
      </c>
      <c r="C149" t="s">
        <v>8</v>
      </c>
      <c r="D149">
        <v>46.85</v>
      </c>
      <c r="E149">
        <v>53.22</v>
      </c>
      <c r="F149" t="s">
        <v>11</v>
      </c>
    </row>
    <row r="150" spans="1:6">
      <c r="A150" t="s">
        <v>24</v>
      </c>
      <c r="B150" t="s">
        <v>19</v>
      </c>
      <c r="C150" t="s">
        <v>10</v>
      </c>
      <c r="D150">
        <v>4.0599999999999996</v>
      </c>
      <c r="E150">
        <v>5.51</v>
      </c>
      <c r="F150" t="s">
        <v>11</v>
      </c>
    </row>
    <row r="151" spans="1:6">
      <c r="A151" t="s">
        <v>24</v>
      </c>
      <c r="B151" t="s">
        <v>19</v>
      </c>
      <c r="C151" t="s">
        <v>12</v>
      </c>
      <c r="D151">
        <v>45.99</v>
      </c>
      <c r="E151">
        <v>36.24</v>
      </c>
      <c r="F151" t="s">
        <v>9</v>
      </c>
    </row>
    <row r="152" spans="1:6">
      <c r="A152" t="s">
        <v>24</v>
      </c>
      <c r="B152" t="s">
        <v>19</v>
      </c>
      <c r="C152" t="s">
        <v>13</v>
      </c>
      <c r="D152">
        <v>13.38</v>
      </c>
      <c r="E152">
        <v>10.9</v>
      </c>
      <c r="F152" t="s">
        <v>9</v>
      </c>
    </row>
    <row r="153" spans="1:6">
      <c r="A153" t="s">
        <v>24</v>
      </c>
      <c r="B153" t="s">
        <v>19</v>
      </c>
      <c r="C153" t="s">
        <v>14</v>
      </c>
      <c r="D153">
        <v>73.64</v>
      </c>
      <c r="E153">
        <v>59.06</v>
      </c>
      <c r="F153" t="s">
        <v>9</v>
      </c>
    </row>
    <row r="154" spans="1:6">
      <c r="A154" t="s">
        <v>24</v>
      </c>
      <c r="B154" t="s">
        <v>19</v>
      </c>
      <c r="C154" t="s">
        <v>15</v>
      </c>
      <c r="D154">
        <v>22.21</v>
      </c>
      <c r="E154">
        <v>20.65</v>
      </c>
      <c r="F154" t="s">
        <v>9</v>
      </c>
    </row>
    <row r="155" spans="1:6">
      <c r="A155" t="s">
        <v>24</v>
      </c>
      <c r="B155" t="s">
        <v>19</v>
      </c>
      <c r="C155" t="s">
        <v>16</v>
      </c>
      <c r="D155">
        <v>56.81</v>
      </c>
      <c r="E155">
        <v>59.4</v>
      </c>
      <c r="F155" t="s">
        <v>11</v>
      </c>
    </row>
    <row r="156" spans="1:6">
      <c r="A156" t="s">
        <v>24</v>
      </c>
      <c r="B156" t="s">
        <v>20</v>
      </c>
      <c r="C156" t="s">
        <v>8</v>
      </c>
      <c r="D156">
        <v>34.79</v>
      </c>
      <c r="E156">
        <v>34.880000000000003</v>
      </c>
      <c r="F156" t="s">
        <v>11</v>
      </c>
    </row>
    <row r="157" spans="1:6">
      <c r="A157" t="s">
        <v>24</v>
      </c>
      <c r="B157" t="s">
        <v>20</v>
      </c>
      <c r="C157" t="s">
        <v>10</v>
      </c>
      <c r="D157">
        <v>41.29</v>
      </c>
      <c r="E157">
        <v>32.17</v>
      </c>
      <c r="F157" t="s">
        <v>9</v>
      </c>
    </row>
    <row r="158" spans="1:6">
      <c r="A158" t="s">
        <v>24</v>
      </c>
      <c r="B158" t="s">
        <v>20</v>
      </c>
      <c r="C158" t="s">
        <v>12</v>
      </c>
      <c r="D158">
        <v>71.62</v>
      </c>
      <c r="E158">
        <v>56.62</v>
      </c>
      <c r="F158" t="s">
        <v>9</v>
      </c>
    </row>
    <row r="159" spans="1:6">
      <c r="A159" t="s">
        <v>24</v>
      </c>
      <c r="B159" t="s">
        <v>20</v>
      </c>
      <c r="C159" t="s">
        <v>13</v>
      </c>
      <c r="D159">
        <v>57.14</v>
      </c>
      <c r="E159">
        <v>51.81</v>
      </c>
      <c r="F159" t="s">
        <v>9</v>
      </c>
    </row>
    <row r="160" spans="1:6">
      <c r="A160" t="s">
        <v>24</v>
      </c>
      <c r="B160" t="s">
        <v>20</v>
      </c>
      <c r="C160" t="s">
        <v>14</v>
      </c>
      <c r="D160">
        <v>36.01</v>
      </c>
      <c r="E160">
        <v>30.74</v>
      </c>
      <c r="F160" t="s">
        <v>9</v>
      </c>
    </row>
    <row r="161" spans="1:6">
      <c r="A161" t="s">
        <v>24</v>
      </c>
      <c r="B161" t="s">
        <v>20</v>
      </c>
      <c r="C161" t="s">
        <v>15</v>
      </c>
      <c r="D161">
        <v>13.9</v>
      </c>
      <c r="E161">
        <v>15.6</v>
      </c>
      <c r="F161" t="s">
        <v>11</v>
      </c>
    </row>
    <row r="162" spans="1:6">
      <c r="A162" t="s">
        <v>24</v>
      </c>
      <c r="B162" t="s">
        <v>20</v>
      </c>
      <c r="C162" t="s">
        <v>16</v>
      </c>
      <c r="D162">
        <v>10.64</v>
      </c>
      <c r="E162">
        <v>11.2</v>
      </c>
      <c r="F162" t="s">
        <v>11</v>
      </c>
    </row>
    <row r="163" spans="1:6">
      <c r="A163" t="s">
        <v>24</v>
      </c>
      <c r="B163" t="s">
        <v>21</v>
      </c>
      <c r="C163" t="s">
        <v>8</v>
      </c>
      <c r="D163">
        <v>11.01</v>
      </c>
      <c r="E163">
        <v>13.94</v>
      </c>
      <c r="F163" t="s">
        <v>11</v>
      </c>
    </row>
    <row r="164" spans="1:6">
      <c r="A164" t="s">
        <v>24</v>
      </c>
      <c r="B164" t="s">
        <v>21</v>
      </c>
      <c r="C164" t="s">
        <v>10</v>
      </c>
      <c r="D164">
        <v>28</v>
      </c>
      <c r="E164">
        <v>30.24</v>
      </c>
      <c r="F164" t="s">
        <v>11</v>
      </c>
    </row>
    <row r="165" spans="1:6">
      <c r="A165" t="s">
        <v>24</v>
      </c>
      <c r="B165" t="s">
        <v>21</v>
      </c>
      <c r="C165" t="s">
        <v>12</v>
      </c>
      <c r="D165">
        <v>22.07</v>
      </c>
      <c r="E165">
        <v>19.149999999999999</v>
      </c>
      <c r="F165" t="s">
        <v>9</v>
      </c>
    </row>
    <row r="166" spans="1:6">
      <c r="A166" t="s">
        <v>24</v>
      </c>
      <c r="B166" t="s">
        <v>21</v>
      </c>
      <c r="C166" t="s">
        <v>13</v>
      </c>
      <c r="D166">
        <v>15</v>
      </c>
      <c r="E166">
        <v>15.24</v>
      </c>
      <c r="F166" t="s">
        <v>11</v>
      </c>
    </row>
    <row r="167" spans="1:6">
      <c r="A167" t="s">
        <v>24</v>
      </c>
      <c r="B167" t="s">
        <v>21</v>
      </c>
      <c r="C167" t="s">
        <v>14</v>
      </c>
      <c r="D167">
        <v>55.05</v>
      </c>
      <c r="E167">
        <v>45.51</v>
      </c>
      <c r="F167" t="s">
        <v>9</v>
      </c>
    </row>
    <row r="168" spans="1:6">
      <c r="A168" t="s">
        <v>24</v>
      </c>
      <c r="B168" t="s">
        <v>21</v>
      </c>
      <c r="C168" t="s">
        <v>15</v>
      </c>
      <c r="D168">
        <v>42.69</v>
      </c>
      <c r="E168">
        <v>48.49</v>
      </c>
      <c r="F168" t="s">
        <v>11</v>
      </c>
    </row>
    <row r="169" spans="1:6">
      <c r="A169" t="s">
        <v>24</v>
      </c>
      <c r="B169" t="s">
        <v>21</v>
      </c>
      <c r="C169" t="s">
        <v>16</v>
      </c>
      <c r="D169">
        <v>40.74</v>
      </c>
      <c r="E169">
        <v>36.229999999999997</v>
      </c>
      <c r="F169" t="s">
        <v>9</v>
      </c>
    </row>
    <row r="170" spans="1:6">
      <c r="A170" t="s">
        <v>25</v>
      </c>
      <c r="B170" t="s">
        <v>7</v>
      </c>
      <c r="C170" t="s">
        <v>8</v>
      </c>
      <c r="D170">
        <v>18.899999999999999</v>
      </c>
      <c r="E170">
        <v>15.97</v>
      </c>
      <c r="F170" t="s">
        <v>9</v>
      </c>
    </row>
    <row r="171" spans="1:6">
      <c r="A171" t="s">
        <v>25</v>
      </c>
      <c r="B171" t="s">
        <v>7</v>
      </c>
      <c r="C171" t="s">
        <v>10</v>
      </c>
      <c r="D171">
        <v>72.459999999999994</v>
      </c>
      <c r="E171">
        <v>58.02</v>
      </c>
      <c r="F171" t="s">
        <v>9</v>
      </c>
    </row>
    <row r="172" spans="1:6">
      <c r="A172" t="s">
        <v>25</v>
      </c>
      <c r="B172" t="s">
        <v>7</v>
      </c>
      <c r="C172" t="s">
        <v>12</v>
      </c>
      <c r="D172">
        <v>23.51</v>
      </c>
      <c r="E172">
        <v>22.66</v>
      </c>
      <c r="F172" t="s">
        <v>9</v>
      </c>
    </row>
    <row r="173" spans="1:6">
      <c r="A173" t="s">
        <v>25</v>
      </c>
      <c r="B173" t="s">
        <v>7</v>
      </c>
      <c r="C173" t="s">
        <v>13</v>
      </c>
      <c r="D173">
        <v>51.89</v>
      </c>
      <c r="E173">
        <v>40.520000000000003</v>
      </c>
      <c r="F173" t="s">
        <v>9</v>
      </c>
    </row>
    <row r="174" spans="1:6">
      <c r="A174" t="s">
        <v>25</v>
      </c>
      <c r="B174" t="s">
        <v>7</v>
      </c>
      <c r="C174" t="s">
        <v>14</v>
      </c>
      <c r="D174">
        <v>56.83</v>
      </c>
      <c r="E174">
        <v>54.94</v>
      </c>
      <c r="F174" t="s">
        <v>9</v>
      </c>
    </row>
    <row r="175" spans="1:6">
      <c r="A175" t="s">
        <v>25</v>
      </c>
      <c r="B175" t="s">
        <v>7</v>
      </c>
      <c r="C175" t="s">
        <v>15</v>
      </c>
      <c r="D175">
        <v>7.74</v>
      </c>
      <c r="E175">
        <v>9.92</v>
      </c>
      <c r="F175" t="s">
        <v>11</v>
      </c>
    </row>
    <row r="176" spans="1:6">
      <c r="A176" t="s">
        <v>25</v>
      </c>
      <c r="B176" t="s">
        <v>7</v>
      </c>
      <c r="C176" t="s">
        <v>16</v>
      </c>
      <c r="D176">
        <v>30.94</v>
      </c>
      <c r="E176">
        <v>36.58</v>
      </c>
      <c r="F176" t="s">
        <v>11</v>
      </c>
    </row>
    <row r="177" spans="1:6">
      <c r="A177" t="s">
        <v>25</v>
      </c>
      <c r="B177" t="s">
        <v>17</v>
      </c>
      <c r="C177" t="s">
        <v>8</v>
      </c>
      <c r="D177">
        <v>28.3</v>
      </c>
      <c r="E177">
        <v>34.43</v>
      </c>
      <c r="F177" t="s">
        <v>11</v>
      </c>
    </row>
    <row r="178" spans="1:6">
      <c r="A178" t="s">
        <v>25</v>
      </c>
      <c r="B178" t="s">
        <v>17</v>
      </c>
      <c r="C178" t="s">
        <v>10</v>
      </c>
      <c r="D178">
        <v>48.71</v>
      </c>
      <c r="E178">
        <v>44.77</v>
      </c>
      <c r="F178" t="s">
        <v>9</v>
      </c>
    </row>
    <row r="179" spans="1:6">
      <c r="A179" t="s">
        <v>25</v>
      </c>
      <c r="B179" t="s">
        <v>17</v>
      </c>
      <c r="C179" t="s">
        <v>12</v>
      </c>
      <c r="D179">
        <v>70.84</v>
      </c>
      <c r="E179">
        <v>56.52</v>
      </c>
      <c r="F179" t="s">
        <v>9</v>
      </c>
    </row>
    <row r="180" spans="1:6">
      <c r="A180" t="s">
        <v>25</v>
      </c>
      <c r="B180" t="s">
        <v>17</v>
      </c>
      <c r="C180" t="s">
        <v>13</v>
      </c>
      <c r="D180">
        <v>66.73</v>
      </c>
      <c r="E180">
        <v>55.23</v>
      </c>
      <c r="F180" t="s">
        <v>9</v>
      </c>
    </row>
    <row r="181" spans="1:6">
      <c r="A181" t="s">
        <v>25</v>
      </c>
      <c r="B181" t="s">
        <v>17</v>
      </c>
      <c r="C181" t="s">
        <v>14</v>
      </c>
      <c r="D181">
        <v>11.05</v>
      </c>
      <c r="E181">
        <v>14.63</v>
      </c>
      <c r="F181" t="s">
        <v>11</v>
      </c>
    </row>
    <row r="182" spans="1:6">
      <c r="A182" t="s">
        <v>25</v>
      </c>
      <c r="B182" t="s">
        <v>17</v>
      </c>
      <c r="C182" t="s">
        <v>15</v>
      </c>
      <c r="D182">
        <v>60.73</v>
      </c>
      <c r="E182">
        <v>53.52</v>
      </c>
      <c r="F182" t="s">
        <v>9</v>
      </c>
    </row>
    <row r="183" spans="1:6">
      <c r="A183" t="s">
        <v>25</v>
      </c>
      <c r="B183" t="s">
        <v>17</v>
      </c>
      <c r="C183" t="s">
        <v>16</v>
      </c>
      <c r="D183">
        <v>11.95</v>
      </c>
      <c r="E183">
        <v>14.67</v>
      </c>
      <c r="F183" t="s">
        <v>11</v>
      </c>
    </row>
    <row r="184" spans="1:6">
      <c r="A184" t="s">
        <v>25</v>
      </c>
      <c r="B184" t="s">
        <v>18</v>
      </c>
      <c r="C184" t="s">
        <v>8</v>
      </c>
      <c r="D184">
        <v>47.86</v>
      </c>
      <c r="E184">
        <v>55.58</v>
      </c>
      <c r="F184" t="s">
        <v>11</v>
      </c>
    </row>
    <row r="185" spans="1:6">
      <c r="A185" t="s">
        <v>25</v>
      </c>
      <c r="B185" t="s">
        <v>18</v>
      </c>
      <c r="C185" t="s">
        <v>10</v>
      </c>
      <c r="D185">
        <v>66.08</v>
      </c>
      <c r="E185">
        <v>59.84</v>
      </c>
      <c r="F185" t="s">
        <v>9</v>
      </c>
    </row>
    <row r="186" spans="1:6">
      <c r="A186" t="s">
        <v>25</v>
      </c>
      <c r="B186" t="s">
        <v>18</v>
      </c>
      <c r="C186" t="s">
        <v>12</v>
      </c>
      <c r="D186">
        <v>28.49</v>
      </c>
      <c r="E186">
        <v>26.83</v>
      </c>
      <c r="F186" t="s">
        <v>9</v>
      </c>
    </row>
    <row r="187" spans="1:6">
      <c r="A187" t="s">
        <v>25</v>
      </c>
      <c r="B187" t="s">
        <v>18</v>
      </c>
      <c r="C187" t="s">
        <v>13</v>
      </c>
      <c r="D187">
        <v>39.479999999999997</v>
      </c>
      <c r="E187">
        <v>32.25</v>
      </c>
      <c r="F187" t="s">
        <v>9</v>
      </c>
    </row>
    <row r="188" spans="1:6">
      <c r="A188" t="s">
        <v>25</v>
      </c>
      <c r="B188" t="s">
        <v>18</v>
      </c>
      <c r="C188" t="s">
        <v>14</v>
      </c>
      <c r="D188">
        <v>45.94</v>
      </c>
      <c r="E188">
        <v>56.51</v>
      </c>
      <c r="F188" t="s">
        <v>11</v>
      </c>
    </row>
    <row r="189" spans="1:6">
      <c r="A189" t="s">
        <v>25</v>
      </c>
      <c r="B189" t="s">
        <v>18</v>
      </c>
      <c r="C189" t="s">
        <v>15</v>
      </c>
      <c r="D189">
        <v>67.010000000000005</v>
      </c>
      <c r="E189">
        <v>57.92</v>
      </c>
      <c r="F189" t="s">
        <v>9</v>
      </c>
    </row>
    <row r="190" spans="1:6">
      <c r="A190" t="s">
        <v>25</v>
      </c>
      <c r="B190" t="s">
        <v>18</v>
      </c>
      <c r="C190" t="s">
        <v>16</v>
      </c>
      <c r="D190">
        <v>63.46</v>
      </c>
      <c r="E190">
        <v>55.93</v>
      </c>
      <c r="F190" t="s">
        <v>9</v>
      </c>
    </row>
    <row r="191" spans="1:6">
      <c r="A191" t="s">
        <v>25</v>
      </c>
      <c r="B191" t="s">
        <v>19</v>
      </c>
      <c r="C191" t="s">
        <v>8</v>
      </c>
      <c r="D191">
        <v>55.1</v>
      </c>
      <c r="E191">
        <v>53.22</v>
      </c>
      <c r="F191" t="s">
        <v>9</v>
      </c>
    </row>
    <row r="192" spans="1:6">
      <c r="A192" t="s">
        <v>25</v>
      </c>
      <c r="B192" t="s">
        <v>19</v>
      </c>
      <c r="C192" t="s">
        <v>10</v>
      </c>
      <c r="D192">
        <v>5.44</v>
      </c>
      <c r="E192">
        <v>5.51</v>
      </c>
      <c r="F192" t="s">
        <v>11</v>
      </c>
    </row>
    <row r="193" spans="1:6">
      <c r="A193" t="s">
        <v>25</v>
      </c>
      <c r="B193" t="s">
        <v>19</v>
      </c>
      <c r="C193" t="s">
        <v>12</v>
      </c>
      <c r="D193">
        <v>44.27</v>
      </c>
      <c r="E193">
        <v>36.24</v>
      </c>
      <c r="F193" t="s">
        <v>9</v>
      </c>
    </row>
    <row r="194" spans="1:6">
      <c r="A194" t="s">
        <v>25</v>
      </c>
      <c r="B194" t="s">
        <v>19</v>
      </c>
      <c r="C194" t="s">
        <v>13</v>
      </c>
      <c r="D194">
        <v>9.81</v>
      </c>
      <c r="E194">
        <v>10.9</v>
      </c>
      <c r="F194" t="s">
        <v>11</v>
      </c>
    </row>
    <row r="195" spans="1:6">
      <c r="A195" t="s">
        <v>25</v>
      </c>
      <c r="B195" t="s">
        <v>19</v>
      </c>
      <c r="C195" t="s">
        <v>14</v>
      </c>
      <c r="D195">
        <v>75.25</v>
      </c>
      <c r="E195">
        <v>59.06</v>
      </c>
      <c r="F195" t="s">
        <v>9</v>
      </c>
    </row>
    <row r="196" spans="1:6">
      <c r="A196" t="s">
        <v>25</v>
      </c>
      <c r="B196" t="s">
        <v>19</v>
      </c>
      <c r="C196" t="s">
        <v>15</v>
      </c>
      <c r="D196">
        <v>14.64</v>
      </c>
      <c r="E196">
        <v>20.65</v>
      </c>
      <c r="F196" t="s">
        <v>11</v>
      </c>
    </row>
    <row r="197" spans="1:6">
      <c r="A197" t="s">
        <v>25</v>
      </c>
      <c r="B197" t="s">
        <v>19</v>
      </c>
      <c r="C197" t="s">
        <v>16</v>
      </c>
      <c r="D197">
        <v>74.98</v>
      </c>
      <c r="E197">
        <v>59.4</v>
      </c>
      <c r="F197" t="s">
        <v>9</v>
      </c>
    </row>
    <row r="198" spans="1:6">
      <c r="A198" t="s">
        <v>25</v>
      </c>
      <c r="B198" t="s">
        <v>20</v>
      </c>
      <c r="C198" t="s">
        <v>8</v>
      </c>
      <c r="D198">
        <v>44.55</v>
      </c>
      <c r="E198">
        <v>34.880000000000003</v>
      </c>
      <c r="F198" t="s">
        <v>9</v>
      </c>
    </row>
    <row r="199" spans="1:6">
      <c r="A199" t="s">
        <v>25</v>
      </c>
      <c r="B199" t="s">
        <v>20</v>
      </c>
      <c r="C199" t="s">
        <v>10</v>
      </c>
      <c r="D199">
        <v>24.78</v>
      </c>
      <c r="E199">
        <v>32.17</v>
      </c>
      <c r="F199" t="s">
        <v>11</v>
      </c>
    </row>
    <row r="200" spans="1:6">
      <c r="A200" t="s">
        <v>25</v>
      </c>
      <c r="B200" t="s">
        <v>20</v>
      </c>
      <c r="C200" t="s">
        <v>12</v>
      </c>
      <c r="D200">
        <v>73.59</v>
      </c>
      <c r="E200">
        <v>56.62</v>
      </c>
      <c r="F200" t="s">
        <v>9</v>
      </c>
    </row>
    <row r="201" spans="1:6">
      <c r="A201" t="s">
        <v>25</v>
      </c>
      <c r="B201" t="s">
        <v>20</v>
      </c>
      <c r="C201" t="s">
        <v>13</v>
      </c>
      <c r="D201">
        <v>51.15</v>
      </c>
      <c r="E201">
        <v>51.81</v>
      </c>
      <c r="F201" t="s">
        <v>11</v>
      </c>
    </row>
    <row r="202" spans="1:6">
      <c r="A202" t="s">
        <v>25</v>
      </c>
      <c r="B202" t="s">
        <v>20</v>
      </c>
      <c r="C202" t="s">
        <v>14</v>
      </c>
      <c r="D202">
        <v>25.99</v>
      </c>
      <c r="E202">
        <v>30.74</v>
      </c>
      <c r="F202" t="s">
        <v>11</v>
      </c>
    </row>
    <row r="203" spans="1:6">
      <c r="A203" t="s">
        <v>25</v>
      </c>
      <c r="B203" t="s">
        <v>20</v>
      </c>
      <c r="C203" t="s">
        <v>15</v>
      </c>
      <c r="D203">
        <v>16.579999999999998</v>
      </c>
      <c r="E203">
        <v>15.6</v>
      </c>
      <c r="F203" t="s">
        <v>9</v>
      </c>
    </row>
    <row r="204" spans="1:6">
      <c r="A204" t="s">
        <v>25</v>
      </c>
      <c r="B204" t="s">
        <v>20</v>
      </c>
      <c r="C204" t="s">
        <v>16</v>
      </c>
      <c r="D204">
        <v>9.2100000000000009</v>
      </c>
      <c r="E204">
        <v>11.2</v>
      </c>
      <c r="F204" t="s">
        <v>11</v>
      </c>
    </row>
    <row r="205" spans="1:6">
      <c r="A205" t="s">
        <v>25</v>
      </c>
      <c r="B205" t="s">
        <v>21</v>
      </c>
      <c r="C205" t="s">
        <v>8</v>
      </c>
      <c r="D205">
        <v>17.41</v>
      </c>
      <c r="E205">
        <v>13.94</v>
      </c>
      <c r="F205" t="s">
        <v>9</v>
      </c>
    </row>
    <row r="206" spans="1:6">
      <c r="A206" t="s">
        <v>25</v>
      </c>
      <c r="B206" t="s">
        <v>21</v>
      </c>
      <c r="C206" t="s">
        <v>10</v>
      </c>
      <c r="D206">
        <v>31.18</v>
      </c>
      <c r="E206">
        <v>30.24</v>
      </c>
      <c r="F206" t="s">
        <v>9</v>
      </c>
    </row>
    <row r="207" spans="1:6">
      <c r="A207" t="s">
        <v>25</v>
      </c>
      <c r="B207" t="s">
        <v>21</v>
      </c>
      <c r="C207" t="s">
        <v>12</v>
      </c>
      <c r="D207">
        <v>22.32</v>
      </c>
      <c r="E207">
        <v>19.149999999999999</v>
      </c>
      <c r="F207" t="s">
        <v>9</v>
      </c>
    </row>
    <row r="208" spans="1:6">
      <c r="A208" t="s">
        <v>25</v>
      </c>
      <c r="B208" t="s">
        <v>21</v>
      </c>
      <c r="C208" t="s">
        <v>13</v>
      </c>
      <c r="D208">
        <v>14.15</v>
      </c>
      <c r="E208">
        <v>15.24</v>
      </c>
      <c r="F208" t="s">
        <v>11</v>
      </c>
    </row>
    <row r="209" spans="1:6">
      <c r="A209" t="s">
        <v>25</v>
      </c>
      <c r="B209" t="s">
        <v>21</v>
      </c>
      <c r="C209" t="s">
        <v>14</v>
      </c>
      <c r="D209">
        <v>46.43</v>
      </c>
      <c r="E209">
        <v>45.51</v>
      </c>
      <c r="F209" t="s">
        <v>9</v>
      </c>
    </row>
    <row r="210" spans="1:6">
      <c r="A210" t="s">
        <v>25</v>
      </c>
      <c r="B210" t="s">
        <v>21</v>
      </c>
      <c r="C210" t="s">
        <v>15</v>
      </c>
      <c r="D210">
        <v>44.4</v>
      </c>
      <c r="E210">
        <v>48.49</v>
      </c>
      <c r="F210" t="s">
        <v>11</v>
      </c>
    </row>
    <row r="211" spans="1:6">
      <c r="A211" t="s">
        <v>25</v>
      </c>
      <c r="B211" t="s">
        <v>21</v>
      </c>
      <c r="C211" t="s">
        <v>16</v>
      </c>
      <c r="D211">
        <v>31.05</v>
      </c>
      <c r="E211">
        <v>36.229999999999997</v>
      </c>
      <c r="F211" t="s">
        <v>11</v>
      </c>
    </row>
    <row r="212" spans="1:6">
      <c r="A212" t="s">
        <v>26</v>
      </c>
      <c r="B212" t="s">
        <v>7</v>
      </c>
      <c r="C212" t="s">
        <v>8</v>
      </c>
      <c r="D212">
        <v>16.09</v>
      </c>
      <c r="E212">
        <v>15.97</v>
      </c>
      <c r="F212" t="s">
        <v>9</v>
      </c>
    </row>
    <row r="213" spans="1:6">
      <c r="A213" t="s">
        <v>26</v>
      </c>
      <c r="B213" t="s">
        <v>7</v>
      </c>
      <c r="C213" t="s">
        <v>10</v>
      </c>
      <c r="D213">
        <v>57.93</v>
      </c>
      <c r="E213">
        <v>58.02</v>
      </c>
      <c r="F213" t="s">
        <v>11</v>
      </c>
    </row>
    <row r="214" spans="1:6">
      <c r="A214" t="s">
        <v>26</v>
      </c>
      <c r="B214" t="s">
        <v>7</v>
      </c>
      <c r="C214" t="s">
        <v>12</v>
      </c>
      <c r="D214">
        <v>17.2</v>
      </c>
      <c r="E214">
        <v>22.66</v>
      </c>
      <c r="F214" t="s">
        <v>11</v>
      </c>
    </row>
    <row r="215" spans="1:6">
      <c r="A215" t="s">
        <v>26</v>
      </c>
      <c r="B215" t="s">
        <v>7</v>
      </c>
      <c r="C215" t="s">
        <v>13</v>
      </c>
      <c r="D215">
        <v>52.22</v>
      </c>
      <c r="E215">
        <v>40.520000000000003</v>
      </c>
      <c r="F215" t="s">
        <v>9</v>
      </c>
    </row>
    <row r="216" spans="1:6">
      <c r="A216" t="s">
        <v>26</v>
      </c>
      <c r="B216" t="s">
        <v>7</v>
      </c>
      <c r="C216" t="s">
        <v>14</v>
      </c>
      <c r="D216">
        <v>53.93</v>
      </c>
      <c r="E216">
        <v>54.94</v>
      </c>
      <c r="F216" t="s">
        <v>11</v>
      </c>
    </row>
    <row r="217" spans="1:6">
      <c r="A217" t="s">
        <v>26</v>
      </c>
      <c r="B217" t="s">
        <v>7</v>
      </c>
      <c r="C217" t="s">
        <v>15</v>
      </c>
      <c r="D217">
        <v>11.94</v>
      </c>
      <c r="E217">
        <v>9.92</v>
      </c>
      <c r="F217" t="s">
        <v>9</v>
      </c>
    </row>
    <row r="218" spans="1:6">
      <c r="A218" t="s">
        <v>26</v>
      </c>
      <c r="B218" t="s">
        <v>7</v>
      </c>
      <c r="C218" t="s">
        <v>16</v>
      </c>
      <c r="D218">
        <v>45.67</v>
      </c>
      <c r="E218">
        <v>36.58</v>
      </c>
      <c r="F218" t="s">
        <v>9</v>
      </c>
    </row>
    <row r="219" spans="1:6">
      <c r="A219" t="s">
        <v>26</v>
      </c>
      <c r="B219" t="s">
        <v>17</v>
      </c>
      <c r="C219" t="s">
        <v>8</v>
      </c>
      <c r="D219">
        <v>31.76</v>
      </c>
      <c r="E219">
        <v>34.43</v>
      </c>
      <c r="F219" t="s">
        <v>11</v>
      </c>
    </row>
    <row r="220" spans="1:6">
      <c r="A220" t="s">
        <v>26</v>
      </c>
      <c r="B220" t="s">
        <v>17</v>
      </c>
      <c r="C220" t="s">
        <v>10</v>
      </c>
      <c r="D220">
        <v>42.46</v>
      </c>
      <c r="E220">
        <v>44.77</v>
      </c>
      <c r="F220" t="s">
        <v>11</v>
      </c>
    </row>
    <row r="221" spans="1:6">
      <c r="A221" t="s">
        <v>26</v>
      </c>
      <c r="B221" t="s">
        <v>17</v>
      </c>
      <c r="C221" t="s">
        <v>12</v>
      </c>
      <c r="D221">
        <v>58.64</v>
      </c>
      <c r="E221">
        <v>56.52</v>
      </c>
      <c r="F221" t="s">
        <v>9</v>
      </c>
    </row>
    <row r="222" spans="1:6">
      <c r="A222" t="s">
        <v>26</v>
      </c>
      <c r="B222" t="s">
        <v>17</v>
      </c>
      <c r="C222" t="s">
        <v>13</v>
      </c>
      <c r="D222">
        <v>45.99</v>
      </c>
      <c r="E222">
        <v>55.23</v>
      </c>
      <c r="F222" t="s">
        <v>11</v>
      </c>
    </row>
    <row r="223" spans="1:6">
      <c r="A223" t="s">
        <v>26</v>
      </c>
      <c r="B223" t="s">
        <v>17</v>
      </c>
      <c r="C223" t="s">
        <v>14</v>
      </c>
      <c r="D223">
        <v>11.52</v>
      </c>
      <c r="E223">
        <v>14.63</v>
      </c>
      <c r="F223" t="s">
        <v>11</v>
      </c>
    </row>
    <row r="224" spans="1:6">
      <c r="A224" t="s">
        <v>26</v>
      </c>
      <c r="B224" t="s">
        <v>17</v>
      </c>
      <c r="C224" t="s">
        <v>15</v>
      </c>
      <c r="D224">
        <v>45.84</v>
      </c>
      <c r="E224">
        <v>53.52</v>
      </c>
      <c r="F224" t="s">
        <v>11</v>
      </c>
    </row>
    <row r="225" spans="1:6">
      <c r="A225" t="s">
        <v>26</v>
      </c>
      <c r="B225" t="s">
        <v>17</v>
      </c>
      <c r="C225" t="s">
        <v>16</v>
      </c>
      <c r="D225">
        <v>18.5</v>
      </c>
      <c r="E225">
        <v>14.67</v>
      </c>
      <c r="F225" t="s">
        <v>9</v>
      </c>
    </row>
    <row r="226" spans="1:6">
      <c r="A226" t="s">
        <v>26</v>
      </c>
      <c r="B226" t="s">
        <v>18</v>
      </c>
      <c r="C226" t="s">
        <v>8</v>
      </c>
      <c r="D226">
        <v>58.22</v>
      </c>
      <c r="E226">
        <v>55.58</v>
      </c>
      <c r="F226" t="s">
        <v>9</v>
      </c>
    </row>
    <row r="227" spans="1:6">
      <c r="A227" t="s">
        <v>26</v>
      </c>
      <c r="B227" t="s">
        <v>18</v>
      </c>
      <c r="C227" t="s">
        <v>10</v>
      </c>
      <c r="D227">
        <v>56.88</v>
      </c>
      <c r="E227">
        <v>59.84</v>
      </c>
      <c r="F227" t="s">
        <v>11</v>
      </c>
    </row>
    <row r="228" spans="1:6">
      <c r="A228" t="s">
        <v>26</v>
      </c>
      <c r="B228" t="s">
        <v>18</v>
      </c>
      <c r="C228" t="s">
        <v>12</v>
      </c>
      <c r="D228">
        <v>21.23</v>
      </c>
      <c r="E228">
        <v>26.83</v>
      </c>
      <c r="F228" t="s">
        <v>11</v>
      </c>
    </row>
    <row r="229" spans="1:6">
      <c r="A229" t="s">
        <v>26</v>
      </c>
      <c r="B229" t="s">
        <v>18</v>
      </c>
      <c r="C229" t="s">
        <v>13</v>
      </c>
      <c r="D229">
        <v>28.96</v>
      </c>
      <c r="E229">
        <v>32.25</v>
      </c>
      <c r="F229" t="s">
        <v>11</v>
      </c>
    </row>
    <row r="230" spans="1:6">
      <c r="A230" t="s">
        <v>26</v>
      </c>
      <c r="B230" t="s">
        <v>18</v>
      </c>
      <c r="C230" t="s">
        <v>14</v>
      </c>
      <c r="D230">
        <v>52.44</v>
      </c>
      <c r="E230">
        <v>56.51</v>
      </c>
      <c r="F230" t="s">
        <v>11</v>
      </c>
    </row>
    <row r="231" spans="1:6">
      <c r="A231" t="s">
        <v>26</v>
      </c>
      <c r="B231" t="s">
        <v>18</v>
      </c>
      <c r="C231" t="s">
        <v>15</v>
      </c>
      <c r="D231">
        <v>69.510000000000005</v>
      </c>
      <c r="E231">
        <v>57.92</v>
      </c>
      <c r="F231" t="s">
        <v>9</v>
      </c>
    </row>
    <row r="232" spans="1:6">
      <c r="A232" t="s">
        <v>26</v>
      </c>
      <c r="B232" t="s">
        <v>18</v>
      </c>
      <c r="C232" t="s">
        <v>16</v>
      </c>
      <c r="D232">
        <v>55.91</v>
      </c>
      <c r="E232">
        <v>55.93</v>
      </c>
      <c r="F232" t="s">
        <v>11</v>
      </c>
    </row>
    <row r="233" spans="1:6">
      <c r="A233" t="s">
        <v>26</v>
      </c>
      <c r="B233" t="s">
        <v>19</v>
      </c>
      <c r="C233" t="s">
        <v>8</v>
      </c>
      <c r="D233">
        <v>58.16</v>
      </c>
      <c r="E233">
        <v>53.22</v>
      </c>
      <c r="F233" t="s">
        <v>9</v>
      </c>
    </row>
    <row r="234" spans="1:6">
      <c r="A234" t="s">
        <v>26</v>
      </c>
      <c r="B234" t="s">
        <v>19</v>
      </c>
      <c r="C234" t="s">
        <v>10</v>
      </c>
      <c r="D234">
        <v>6.12</v>
      </c>
      <c r="E234">
        <v>5.51</v>
      </c>
      <c r="F234" t="s">
        <v>9</v>
      </c>
    </row>
    <row r="235" spans="1:6">
      <c r="A235" t="s">
        <v>26</v>
      </c>
      <c r="B235" t="s">
        <v>19</v>
      </c>
      <c r="C235" t="s">
        <v>12</v>
      </c>
      <c r="D235">
        <v>30.96</v>
      </c>
      <c r="E235">
        <v>36.24</v>
      </c>
      <c r="F235" t="s">
        <v>11</v>
      </c>
    </row>
    <row r="236" spans="1:6">
      <c r="A236" t="s">
        <v>26</v>
      </c>
      <c r="B236" t="s">
        <v>19</v>
      </c>
      <c r="C236" t="s">
        <v>13</v>
      </c>
      <c r="D236">
        <v>13</v>
      </c>
      <c r="E236">
        <v>10.9</v>
      </c>
      <c r="F236" t="s">
        <v>9</v>
      </c>
    </row>
    <row r="237" spans="1:6">
      <c r="A237" t="s">
        <v>26</v>
      </c>
      <c r="B237" t="s">
        <v>19</v>
      </c>
      <c r="C237" t="s">
        <v>14</v>
      </c>
      <c r="D237">
        <v>75.59</v>
      </c>
      <c r="E237">
        <v>59.06</v>
      </c>
      <c r="F237" t="s">
        <v>9</v>
      </c>
    </row>
    <row r="238" spans="1:6">
      <c r="A238" t="s">
        <v>26</v>
      </c>
      <c r="B238" t="s">
        <v>19</v>
      </c>
      <c r="C238" t="s">
        <v>15</v>
      </c>
      <c r="D238">
        <v>22.41</v>
      </c>
      <c r="E238">
        <v>20.65</v>
      </c>
      <c r="F238" t="s">
        <v>9</v>
      </c>
    </row>
    <row r="239" spans="1:6">
      <c r="A239" t="s">
        <v>26</v>
      </c>
      <c r="B239" t="s">
        <v>19</v>
      </c>
      <c r="C239" t="s">
        <v>16</v>
      </c>
      <c r="D239">
        <v>59.06</v>
      </c>
      <c r="E239">
        <v>59.4</v>
      </c>
      <c r="F239" t="s">
        <v>11</v>
      </c>
    </row>
    <row r="240" spans="1:6">
      <c r="A240" t="s">
        <v>26</v>
      </c>
      <c r="B240" t="s">
        <v>20</v>
      </c>
      <c r="C240" t="s">
        <v>8</v>
      </c>
      <c r="D240">
        <v>27.94</v>
      </c>
      <c r="E240">
        <v>34.880000000000003</v>
      </c>
      <c r="F240" t="s">
        <v>11</v>
      </c>
    </row>
    <row r="241" spans="1:6">
      <c r="A241" t="s">
        <v>26</v>
      </c>
      <c r="B241" t="s">
        <v>20</v>
      </c>
      <c r="C241" t="s">
        <v>10</v>
      </c>
      <c r="D241">
        <v>37.86</v>
      </c>
      <c r="E241">
        <v>32.17</v>
      </c>
      <c r="F241" t="s">
        <v>9</v>
      </c>
    </row>
    <row r="242" spans="1:6">
      <c r="A242" t="s">
        <v>26</v>
      </c>
      <c r="B242" t="s">
        <v>20</v>
      </c>
      <c r="C242" t="s">
        <v>12</v>
      </c>
      <c r="D242">
        <v>45.38</v>
      </c>
      <c r="E242">
        <v>56.62</v>
      </c>
      <c r="F242" t="s">
        <v>11</v>
      </c>
    </row>
    <row r="243" spans="1:6">
      <c r="A243" t="s">
        <v>26</v>
      </c>
      <c r="B243" t="s">
        <v>20</v>
      </c>
      <c r="C243" t="s">
        <v>13</v>
      </c>
      <c r="D243">
        <v>58.66</v>
      </c>
      <c r="E243">
        <v>51.81</v>
      </c>
      <c r="F243" t="s">
        <v>9</v>
      </c>
    </row>
    <row r="244" spans="1:6">
      <c r="A244" t="s">
        <v>26</v>
      </c>
      <c r="B244" t="s">
        <v>20</v>
      </c>
      <c r="C244" t="s">
        <v>14</v>
      </c>
      <c r="D244">
        <v>30.52</v>
      </c>
      <c r="E244">
        <v>30.74</v>
      </c>
      <c r="F244" t="s">
        <v>11</v>
      </c>
    </row>
    <row r="245" spans="1:6">
      <c r="A245" t="s">
        <v>26</v>
      </c>
      <c r="B245" t="s">
        <v>20</v>
      </c>
      <c r="C245" t="s">
        <v>15</v>
      </c>
      <c r="D245">
        <v>19.5</v>
      </c>
      <c r="E245">
        <v>15.6</v>
      </c>
      <c r="F245" t="s">
        <v>9</v>
      </c>
    </row>
    <row r="246" spans="1:6">
      <c r="A246" t="s">
        <v>26</v>
      </c>
      <c r="B246" t="s">
        <v>20</v>
      </c>
      <c r="C246" t="s">
        <v>16</v>
      </c>
      <c r="D246">
        <v>11.48</v>
      </c>
      <c r="E246">
        <v>11.2</v>
      </c>
      <c r="F246" t="s">
        <v>9</v>
      </c>
    </row>
    <row r="247" spans="1:6">
      <c r="A247" t="s">
        <v>26</v>
      </c>
      <c r="B247" t="s">
        <v>21</v>
      </c>
      <c r="C247" t="s">
        <v>8</v>
      </c>
      <c r="D247">
        <v>15.13</v>
      </c>
      <c r="E247">
        <v>13.94</v>
      </c>
      <c r="F247" t="s">
        <v>9</v>
      </c>
    </row>
    <row r="248" spans="1:6">
      <c r="A248" t="s">
        <v>26</v>
      </c>
      <c r="B248" t="s">
        <v>21</v>
      </c>
      <c r="C248" t="s">
        <v>10</v>
      </c>
      <c r="D248">
        <v>22.23</v>
      </c>
      <c r="E248">
        <v>30.24</v>
      </c>
      <c r="F248" t="s">
        <v>11</v>
      </c>
    </row>
    <row r="249" spans="1:6">
      <c r="A249" t="s">
        <v>26</v>
      </c>
      <c r="B249" t="s">
        <v>21</v>
      </c>
      <c r="C249" t="s">
        <v>12</v>
      </c>
      <c r="D249">
        <v>13.79</v>
      </c>
      <c r="E249">
        <v>19.149999999999999</v>
      </c>
      <c r="F249" t="s">
        <v>11</v>
      </c>
    </row>
    <row r="250" spans="1:6">
      <c r="A250" t="s">
        <v>26</v>
      </c>
      <c r="B250" t="s">
        <v>21</v>
      </c>
      <c r="C250" t="s">
        <v>13</v>
      </c>
      <c r="D250">
        <v>18.41</v>
      </c>
      <c r="E250">
        <v>15.24</v>
      </c>
      <c r="F250" t="s">
        <v>9</v>
      </c>
    </row>
    <row r="251" spans="1:6">
      <c r="A251" t="s">
        <v>26</v>
      </c>
      <c r="B251" t="s">
        <v>21</v>
      </c>
      <c r="C251" t="s">
        <v>14</v>
      </c>
      <c r="D251">
        <v>57.67</v>
      </c>
      <c r="E251">
        <v>45.51</v>
      </c>
      <c r="F251" t="s">
        <v>9</v>
      </c>
    </row>
    <row r="252" spans="1:6">
      <c r="A252" t="s">
        <v>26</v>
      </c>
      <c r="B252" t="s">
        <v>21</v>
      </c>
      <c r="C252" t="s">
        <v>15</v>
      </c>
      <c r="D252">
        <v>53.38</v>
      </c>
      <c r="E252">
        <v>48.49</v>
      </c>
      <c r="F252" t="s">
        <v>9</v>
      </c>
    </row>
    <row r="253" spans="1:6">
      <c r="A253" t="s">
        <v>26</v>
      </c>
      <c r="B253" t="s">
        <v>21</v>
      </c>
      <c r="C253" t="s">
        <v>16</v>
      </c>
      <c r="D253">
        <v>41.98</v>
      </c>
      <c r="E253">
        <v>36.229999999999997</v>
      </c>
      <c r="F253" t="s">
        <v>9</v>
      </c>
    </row>
    <row r="254" spans="1:6">
      <c r="A254" t="s">
        <v>27</v>
      </c>
      <c r="B254" t="s">
        <v>7</v>
      </c>
      <c r="C254" t="s">
        <v>8</v>
      </c>
      <c r="D254">
        <v>15.13</v>
      </c>
      <c r="E254">
        <v>15.97</v>
      </c>
      <c r="F254" t="s">
        <v>11</v>
      </c>
    </row>
    <row r="255" spans="1:6">
      <c r="A255" t="s">
        <v>27</v>
      </c>
      <c r="B255" t="s">
        <v>7</v>
      </c>
      <c r="C255" t="s">
        <v>10</v>
      </c>
      <c r="D255">
        <v>69.94</v>
      </c>
      <c r="E255">
        <v>58.02</v>
      </c>
      <c r="F255" t="s">
        <v>9</v>
      </c>
    </row>
    <row r="256" spans="1:6">
      <c r="A256" t="s">
        <v>27</v>
      </c>
      <c r="B256" t="s">
        <v>7</v>
      </c>
      <c r="C256" t="s">
        <v>12</v>
      </c>
      <c r="D256">
        <v>19.010000000000002</v>
      </c>
      <c r="E256">
        <v>22.66</v>
      </c>
      <c r="F256" t="s">
        <v>11</v>
      </c>
    </row>
    <row r="257" spans="1:6">
      <c r="A257" t="s">
        <v>27</v>
      </c>
      <c r="B257" t="s">
        <v>7</v>
      </c>
      <c r="C257" t="s">
        <v>13</v>
      </c>
      <c r="D257">
        <v>45.56</v>
      </c>
      <c r="E257">
        <v>40.520000000000003</v>
      </c>
      <c r="F257" t="s">
        <v>9</v>
      </c>
    </row>
    <row r="258" spans="1:6">
      <c r="A258" t="s">
        <v>27</v>
      </c>
      <c r="B258" t="s">
        <v>7</v>
      </c>
      <c r="C258" t="s">
        <v>14</v>
      </c>
      <c r="D258">
        <v>38.76</v>
      </c>
      <c r="E258">
        <v>54.94</v>
      </c>
      <c r="F258" t="s">
        <v>11</v>
      </c>
    </row>
    <row r="259" spans="1:6">
      <c r="A259" t="s">
        <v>27</v>
      </c>
      <c r="B259" t="s">
        <v>7</v>
      </c>
      <c r="C259" t="s">
        <v>15</v>
      </c>
      <c r="D259">
        <v>9.9499999999999993</v>
      </c>
      <c r="E259">
        <v>9.92</v>
      </c>
      <c r="F259" t="s">
        <v>9</v>
      </c>
    </row>
    <row r="260" spans="1:6">
      <c r="A260" t="s">
        <v>27</v>
      </c>
      <c r="B260" t="s">
        <v>7</v>
      </c>
      <c r="C260" t="s">
        <v>16</v>
      </c>
      <c r="D260">
        <v>33.799999999999997</v>
      </c>
      <c r="E260">
        <v>36.58</v>
      </c>
      <c r="F260" t="s">
        <v>11</v>
      </c>
    </row>
    <row r="261" spans="1:6">
      <c r="A261" t="s">
        <v>27</v>
      </c>
      <c r="B261" t="s">
        <v>17</v>
      </c>
      <c r="C261" t="s">
        <v>8</v>
      </c>
      <c r="D261">
        <v>36.86</v>
      </c>
      <c r="E261">
        <v>34.43</v>
      </c>
      <c r="F261" t="s">
        <v>9</v>
      </c>
    </row>
    <row r="262" spans="1:6">
      <c r="A262" t="s">
        <v>27</v>
      </c>
      <c r="B262" t="s">
        <v>17</v>
      </c>
      <c r="C262" t="s">
        <v>10</v>
      </c>
      <c r="D262">
        <v>49.25</v>
      </c>
      <c r="E262">
        <v>44.77</v>
      </c>
      <c r="F262" t="s">
        <v>9</v>
      </c>
    </row>
    <row r="263" spans="1:6">
      <c r="A263" t="s">
        <v>27</v>
      </c>
      <c r="B263" t="s">
        <v>17</v>
      </c>
      <c r="C263" t="s">
        <v>12</v>
      </c>
      <c r="D263">
        <v>60.47</v>
      </c>
      <c r="E263">
        <v>56.52</v>
      </c>
      <c r="F263" t="s">
        <v>9</v>
      </c>
    </row>
    <row r="264" spans="1:6">
      <c r="A264" t="s">
        <v>27</v>
      </c>
      <c r="B264" t="s">
        <v>17</v>
      </c>
      <c r="C264" t="s">
        <v>13</v>
      </c>
      <c r="D264">
        <v>54.67</v>
      </c>
      <c r="E264">
        <v>55.23</v>
      </c>
      <c r="F264" t="s">
        <v>11</v>
      </c>
    </row>
    <row r="265" spans="1:6">
      <c r="A265" t="s">
        <v>27</v>
      </c>
      <c r="B265" t="s">
        <v>17</v>
      </c>
      <c r="C265" t="s">
        <v>14</v>
      </c>
      <c r="D265">
        <v>14.52</v>
      </c>
      <c r="E265">
        <v>14.63</v>
      </c>
      <c r="F265" t="s">
        <v>11</v>
      </c>
    </row>
    <row r="266" spans="1:6">
      <c r="A266" t="s">
        <v>27</v>
      </c>
      <c r="B266" t="s">
        <v>17</v>
      </c>
      <c r="C266" t="s">
        <v>15</v>
      </c>
      <c r="D266">
        <v>37.68</v>
      </c>
      <c r="E266">
        <v>53.52</v>
      </c>
      <c r="F266" t="s">
        <v>11</v>
      </c>
    </row>
    <row r="267" spans="1:6">
      <c r="A267" t="s">
        <v>27</v>
      </c>
      <c r="B267" t="s">
        <v>17</v>
      </c>
      <c r="C267" t="s">
        <v>16</v>
      </c>
      <c r="D267">
        <v>15.12</v>
      </c>
      <c r="E267">
        <v>14.67</v>
      </c>
      <c r="F267" t="s">
        <v>9</v>
      </c>
    </row>
    <row r="268" spans="1:6">
      <c r="A268" t="s">
        <v>27</v>
      </c>
      <c r="B268" t="s">
        <v>18</v>
      </c>
      <c r="C268" t="s">
        <v>8</v>
      </c>
      <c r="D268">
        <v>39.299999999999997</v>
      </c>
      <c r="E268">
        <v>55.58</v>
      </c>
      <c r="F268" t="s">
        <v>11</v>
      </c>
    </row>
    <row r="269" spans="1:6">
      <c r="A269" t="s">
        <v>27</v>
      </c>
      <c r="B269" t="s">
        <v>18</v>
      </c>
      <c r="C269" t="s">
        <v>10</v>
      </c>
      <c r="D269">
        <v>60.9</v>
      </c>
      <c r="E269">
        <v>59.84</v>
      </c>
      <c r="F269" t="s">
        <v>9</v>
      </c>
    </row>
    <row r="270" spans="1:6">
      <c r="A270" t="s">
        <v>27</v>
      </c>
      <c r="B270" t="s">
        <v>18</v>
      </c>
      <c r="C270" t="s">
        <v>12</v>
      </c>
      <c r="D270">
        <v>23.2</v>
      </c>
      <c r="E270">
        <v>26.83</v>
      </c>
      <c r="F270" t="s">
        <v>11</v>
      </c>
    </row>
    <row r="271" spans="1:6">
      <c r="A271" t="s">
        <v>27</v>
      </c>
      <c r="B271" t="s">
        <v>18</v>
      </c>
      <c r="C271" t="s">
        <v>13</v>
      </c>
      <c r="D271">
        <v>41.49</v>
      </c>
      <c r="E271">
        <v>32.25</v>
      </c>
      <c r="F271" t="s">
        <v>9</v>
      </c>
    </row>
    <row r="272" spans="1:6">
      <c r="A272" t="s">
        <v>27</v>
      </c>
      <c r="B272" t="s">
        <v>18</v>
      </c>
      <c r="C272" t="s">
        <v>14</v>
      </c>
      <c r="D272">
        <v>40.14</v>
      </c>
      <c r="E272">
        <v>56.51</v>
      </c>
      <c r="F272" t="s">
        <v>11</v>
      </c>
    </row>
    <row r="273" spans="1:6">
      <c r="A273" t="s">
        <v>27</v>
      </c>
      <c r="B273" t="s">
        <v>18</v>
      </c>
      <c r="C273" t="s">
        <v>15</v>
      </c>
      <c r="D273">
        <v>68.8</v>
      </c>
      <c r="E273">
        <v>57.92</v>
      </c>
      <c r="F273" t="s">
        <v>9</v>
      </c>
    </row>
    <row r="274" spans="1:6">
      <c r="A274" t="s">
        <v>27</v>
      </c>
      <c r="B274" t="s">
        <v>18</v>
      </c>
      <c r="C274" t="s">
        <v>16</v>
      </c>
      <c r="D274">
        <v>61.77</v>
      </c>
      <c r="E274">
        <v>55.93</v>
      </c>
      <c r="F274" t="s">
        <v>9</v>
      </c>
    </row>
    <row r="275" spans="1:6">
      <c r="A275" t="s">
        <v>27</v>
      </c>
      <c r="B275" t="s">
        <v>19</v>
      </c>
      <c r="C275" t="s">
        <v>8</v>
      </c>
      <c r="D275">
        <v>63</v>
      </c>
      <c r="E275">
        <v>53.22</v>
      </c>
      <c r="F275" t="s">
        <v>9</v>
      </c>
    </row>
    <row r="276" spans="1:6">
      <c r="A276" t="s">
        <v>27</v>
      </c>
      <c r="B276" t="s">
        <v>19</v>
      </c>
      <c r="C276" t="s">
        <v>10</v>
      </c>
      <c r="D276">
        <v>6.86</v>
      </c>
      <c r="E276">
        <v>5.51</v>
      </c>
      <c r="F276" t="s">
        <v>9</v>
      </c>
    </row>
    <row r="277" spans="1:6">
      <c r="A277" t="s">
        <v>27</v>
      </c>
      <c r="B277" t="s">
        <v>19</v>
      </c>
      <c r="C277" t="s">
        <v>12</v>
      </c>
      <c r="D277">
        <v>27.69</v>
      </c>
      <c r="E277">
        <v>36.24</v>
      </c>
      <c r="F277" t="s">
        <v>11</v>
      </c>
    </row>
    <row r="278" spans="1:6">
      <c r="A278" t="s">
        <v>27</v>
      </c>
      <c r="B278" t="s">
        <v>19</v>
      </c>
      <c r="C278" t="s">
        <v>13</v>
      </c>
      <c r="D278">
        <v>8.26</v>
      </c>
      <c r="E278">
        <v>10.9</v>
      </c>
      <c r="F278" t="s">
        <v>11</v>
      </c>
    </row>
    <row r="279" spans="1:6">
      <c r="A279" t="s">
        <v>27</v>
      </c>
      <c r="B279" t="s">
        <v>19</v>
      </c>
      <c r="C279" t="s">
        <v>14</v>
      </c>
      <c r="D279">
        <v>46.62</v>
      </c>
      <c r="E279">
        <v>59.06</v>
      </c>
      <c r="F279" t="s">
        <v>11</v>
      </c>
    </row>
    <row r="280" spans="1:6">
      <c r="A280" t="s">
        <v>27</v>
      </c>
      <c r="B280" t="s">
        <v>19</v>
      </c>
      <c r="C280" t="s">
        <v>15</v>
      </c>
      <c r="D280">
        <v>16.829999999999998</v>
      </c>
      <c r="E280">
        <v>20.65</v>
      </c>
      <c r="F280" t="s">
        <v>11</v>
      </c>
    </row>
    <row r="281" spans="1:6">
      <c r="A281" t="s">
        <v>27</v>
      </c>
      <c r="B281" t="s">
        <v>19</v>
      </c>
      <c r="C281" t="s">
        <v>16</v>
      </c>
      <c r="D281">
        <v>60.34</v>
      </c>
      <c r="E281">
        <v>59.4</v>
      </c>
      <c r="F281" t="s">
        <v>9</v>
      </c>
    </row>
    <row r="282" spans="1:6">
      <c r="A282" t="s">
        <v>27</v>
      </c>
      <c r="B282" t="s">
        <v>20</v>
      </c>
      <c r="C282" t="s">
        <v>8</v>
      </c>
      <c r="D282">
        <v>41.48</v>
      </c>
      <c r="E282">
        <v>34.880000000000003</v>
      </c>
      <c r="F282" t="s">
        <v>9</v>
      </c>
    </row>
    <row r="283" spans="1:6">
      <c r="A283" t="s">
        <v>27</v>
      </c>
      <c r="B283" t="s">
        <v>20</v>
      </c>
      <c r="C283" t="s">
        <v>10</v>
      </c>
      <c r="D283">
        <v>27.68</v>
      </c>
      <c r="E283">
        <v>32.17</v>
      </c>
      <c r="F283" t="s">
        <v>11</v>
      </c>
    </row>
    <row r="284" spans="1:6">
      <c r="A284" t="s">
        <v>27</v>
      </c>
      <c r="B284" t="s">
        <v>20</v>
      </c>
      <c r="C284" t="s">
        <v>12</v>
      </c>
      <c r="D284">
        <v>53.12</v>
      </c>
      <c r="E284">
        <v>56.62</v>
      </c>
      <c r="F284" t="s">
        <v>11</v>
      </c>
    </row>
    <row r="285" spans="1:6">
      <c r="A285" t="s">
        <v>27</v>
      </c>
      <c r="B285" t="s">
        <v>20</v>
      </c>
      <c r="C285" t="s">
        <v>13</v>
      </c>
      <c r="D285">
        <v>47.86</v>
      </c>
      <c r="E285">
        <v>51.81</v>
      </c>
      <c r="F285" t="s">
        <v>11</v>
      </c>
    </row>
    <row r="286" spans="1:6">
      <c r="A286" t="s">
        <v>27</v>
      </c>
      <c r="B286" t="s">
        <v>20</v>
      </c>
      <c r="C286" t="s">
        <v>14</v>
      </c>
      <c r="D286">
        <v>29.01</v>
      </c>
      <c r="E286">
        <v>30.74</v>
      </c>
      <c r="F286" t="s">
        <v>11</v>
      </c>
    </row>
    <row r="287" spans="1:6">
      <c r="A287" t="s">
        <v>27</v>
      </c>
      <c r="B287" t="s">
        <v>20</v>
      </c>
      <c r="C287" t="s">
        <v>15</v>
      </c>
      <c r="D287">
        <v>16.21</v>
      </c>
      <c r="E287">
        <v>15.6</v>
      </c>
      <c r="F287" t="s">
        <v>9</v>
      </c>
    </row>
    <row r="288" spans="1:6">
      <c r="A288" t="s">
        <v>27</v>
      </c>
      <c r="B288" t="s">
        <v>20</v>
      </c>
      <c r="C288" t="s">
        <v>16</v>
      </c>
      <c r="D288">
        <v>14.49</v>
      </c>
      <c r="E288">
        <v>11.2</v>
      </c>
      <c r="F288" t="s">
        <v>9</v>
      </c>
    </row>
    <row r="289" spans="1:6">
      <c r="A289" t="s">
        <v>27</v>
      </c>
      <c r="B289" t="s">
        <v>21</v>
      </c>
      <c r="C289" t="s">
        <v>8</v>
      </c>
      <c r="D289">
        <v>11.65</v>
      </c>
      <c r="E289">
        <v>13.94</v>
      </c>
      <c r="F289" t="s">
        <v>11</v>
      </c>
    </row>
    <row r="290" spans="1:6">
      <c r="A290" t="s">
        <v>27</v>
      </c>
      <c r="B290" t="s">
        <v>21</v>
      </c>
      <c r="C290" t="s">
        <v>10</v>
      </c>
      <c r="D290">
        <v>33.58</v>
      </c>
      <c r="E290">
        <v>30.24</v>
      </c>
      <c r="F290" t="s">
        <v>9</v>
      </c>
    </row>
    <row r="291" spans="1:6">
      <c r="A291" t="s">
        <v>27</v>
      </c>
      <c r="B291" t="s">
        <v>21</v>
      </c>
      <c r="C291" t="s">
        <v>12</v>
      </c>
      <c r="D291">
        <v>23.15</v>
      </c>
      <c r="E291">
        <v>19.149999999999999</v>
      </c>
      <c r="F291" t="s">
        <v>9</v>
      </c>
    </row>
    <row r="292" spans="1:6">
      <c r="A292" t="s">
        <v>27</v>
      </c>
      <c r="B292" t="s">
        <v>21</v>
      </c>
      <c r="C292" t="s">
        <v>13</v>
      </c>
      <c r="D292">
        <v>16.649999999999999</v>
      </c>
      <c r="E292">
        <v>15.24</v>
      </c>
      <c r="F292" t="s">
        <v>9</v>
      </c>
    </row>
    <row r="293" spans="1:6">
      <c r="A293" t="s">
        <v>27</v>
      </c>
      <c r="B293" t="s">
        <v>21</v>
      </c>
      <c r="C293" t="s">
        <v>14</v>
      </c>
      <c r="D293">
        <v>55.29</v>
      </c>
      <c r="E293">
        <v>45.51</v>
      </c>
      <c r="F293" t="s">
        <v>9</v>
      </c>
    </row>
    <row r="294" spans="1:6">
      <c r="A294" t="s">
        <v>27</v>
      </c>
      <c r="B294" t="s">
        <v>21</v>
      </c>
      <c r="C294" t="s">
        <v>15</v>
      </c>
      <c r="D294">
        <v>56.04</v>
      </c>
      <c r="E294">
        <v>48.49</v>
      </c>
      <c r="F294" t="s">
        <v>9</v>
      </c>
    </row>
    <row r="295" spans="1:6">
      <c r="A295" t="s">
        <v>27</v>
      </c>
      <c r="B295" t="s">
        <v>21</v>
      </c>
      <c r="C295" t="s">
        <v>16</v>
      </c>
      <c r="D295">
        <v>27.39</v>
      </c>
      <c r="E295">
        <v>36.229999999999997</v>
      </c>
      <c r="F295" t="s">
        <v>11</v>
      </c>
    </row>
    <row r="296" spans="1:6">
      <c r="A296" t="s">
        <v>28</v>
      </c>
      <c r="B296" t="s">
        <v>7</v>
      </c>
      <c r="C296" t="s">
        <v>8</v>
      </c>
      <c r="D296">
        <v>14.81</v>
      </c>
      <c r="E296">
        <v>15.97</v>
      </c>
      <c r="F296" t="s">
        <v>11</v>
      </c>
    </row>
    <row r="297" spans="1:6">
      <c r="A297" t="s">
        <v>28</v>
      </c>
      <c r="B297" t="s">
        <v>7</v>
      </c>
      <c r="C297" t="s">
        <v>10</v>
      </c>
      <c r="D297">
        <v>59.85</v>
      </c>
      <c r="E297">
        <v>58.02</v>
      </c>
      <c r="F297" t="s">
        <v>9</v>
      </c>
    </row>
    <row r="298" spans="1:6">
      <c r="A298" t="s">
        <v>28</v>
      </c>
      <c r="B298" t="s">
        <v>7</v>
      </c>
      <c r="C298" t="s">
        <v>12</v>
      </c>
      <c r="D298">
        <v>16.62</v>
      </c>
      <c r="E298">
        <v>22.66</v>
      </c>
      <c r="F298" t="s">
        <v>11</v>
      </c>
    </row>
    <row r="299" spans="1:6">
      <c r="A299" t="s">
        <v>28</v>
      </c>
      <c r="B299" t="s">
        <v>7</v>
      </c>
      <c r="C299" t="s">
        <v>13</v>
      </c>
      <c r="D299">
        <v>28.59</v>
      </c>
      <c r="E299">
        <v>40.520000000000003</v>
      </c>
      <c r="F299" t="s">
        <v>11</v>
      </c>
    </row>
    <row r="300" spans="1:6">
      <c r="A300" t="s">
        <v>28</v>
      </c>
      <c r="B300" t="s">
        <v>7</v>
      </c>
      <c r="C300" t="s">
        <v>14</v>
      </c>
      <c r="D300">
        <v>44.11</v>
      </c>
      <c r="E300">
        <v>54.94</v>
      </c>
      <c r="F300" t="s">
        <v>11</v>
      </c>
    </row>
    <row r="301" spans="1:6">
      <c r="A301" t="s">
        <v>28</v>
      </c>
      <c r="B301" t="s">
        <v>7</v>
      </c>
      <c r="C301" t="s">
        <v>15</v>
      </c>
      <c r="D301">
        <v>9.92</v>
      </c>
      <c r="E301">
        <v>9.92</v>
      </c>
      <c r="F301" t="s">
        <v>11</v>
      </c>
    </row>
    <row r="302" spans="1:6">
      <c r="A302" t="s">
        <v>28</v>
      </c>
      <c r="B302" t="s">
        <v>7</v>
      </c>
      <c r="C302" t="s">
        <v>16</v>
      </c>
      <c r="D302">
        <v>35.130000000000003</v>
      </c>
      <c r="E302">
        <v>36.58</v>
      </c>
      <c r="F302" t="s">
        <v>11</v>
      </c>
    </row>
    <row r="303" spans="1:6">
      <c r="A303" t="s">
        <v>28</v>
      </c>
      <c r="B303" t="s">
        <v>17</v>
      </c>
      <c r="C303" t="s">
        <v>8</v>
      </c>
      <c r="D303">
        <v>40.299999999999997</v>
      </c>
      <c r="E303">
        <v>34.43</v>
      </c>
      <c r="F303" t="s">
        <v>9</v>
      </c>
    </row>
    <row r="304" spans="1:6">
      <c r="A304" t="s">
        <v>28</v>
      </c>
      <c r="B304" t="s">
        <v>17</v>
      </c>
      <c r="C304" t="s">
        <v>10</v>
      </c>
      <c r="D304">
        <v>46.54</v>
      </c>
      <c r="E304">
        <v>44.77</v>
      </c>
      <c r="F304" t="s">
        <v>9</v>
      </c>
    </row>
    <row r="305" spans="1:6">
      <c r="A305" t="s">
        <v>28</v>
      </c>
      <c r="B305" t="s">
        <v>17</v>
      </c>
      <c r="C305" t="s">
        <v>12</v>
      </c>
      <c r="D305">
        <v>68.66</v>
      </c>
      <c r="E305">
        <v>56.52</v>
      </c>
      <c r="F305" t="s">
        <v>9</v>
      </c>
    </row>
    <row r="306" spans="1:6">
      <c r="A306" t="s">
        <v>28</v>
      </c>
      <c r="B306" t="s">
        <v>17</v>
      </c>
      <c r="C306" t="s">
        <v>13</v>
      </c>
      <c r="D306">
        <v>41.82</v>
      </c>
      <c r="E306">
        <v>55.23</v>
      </c>
      <c r="F306" t="s">
        <v>11</v>
      </c>
    </row>
    <row r="307" spans="1:6">
      <c r="A307" t="s">
        <v>28</v>
      </c>
      <c r="B307" t="s">
        <v>17</v>
      </c>
      <c r="C307" t="s">
        <v>14</v>
      </c>
      <c r="D307">
        <v>14.88</v>
      </c>
      <c r="E307">
        <v>14.63</v>
      </c>
      <c r="F307" t="s">
        <v>9</v>
      </c>
    </row>
    <row r="308" spans="1:6">
      <c r="A308" t="s">
        <v>28</v>
      </c>
      <c r="B308" t="s">
        <v>17</v>
      </c>
      <c r="C308" t="s">
        <v>15</v>
      </c>
      <c r="D308">
        <v>38.83</v>
      </c>
      <c r="E308">
        <v>53.52</v>
      </c>
      <c r="F308" t="s">
        <v>11</v>
      </c>
    </row>
    <row r="309" spans="1:6">
      <c r="A309" t="s">
        <v>28</v>
      </c>
      <c r="B309" t="s">
        <v>17</v>
      </c>
      <c r="C309" t="s">
        <v>16</v>
      </c>
      <c r="D309">
        <v>12.13</v>
      </c>
      <c r="E309">
        <v>14.67</v>
      </c>
      <c r="F309" t="s">
        <v>11</v>
      </c>
    </row>
    <row r="310" spans="1:6">
      <c r="A310" t="s">
        <v>28</v>
      </c>
      <c r="B310" t="s">
        <v>18</v>
      </c>
      <c r="C310" t="s">
        <v>8</v>
      </c>
      <c r="D310">
        <v>67.86</v>
      </c>
      <c r="E310">
        <v>55.58</v>
      </c>
      <c r="F310" t="s">
        <v>9</v>
      </c>
    </row>
    <row r="311" spans="1:6">
      <c r="A311" t="s">
        <v>28</v>
      </c>
      <c r="B311" t="s">
        <v>18</v>
      </c>
      <c r="C311" t="s">
        <v>10</v>
      </c>
      <c r="D311">
        <v>73.75</v>
      </c>
      <c r="E311">
        <v>59.84</v>
      </c>
      <c r="F311" t="s">
        <v>9</v>
      </c>
    </row>
    <row r="312" spans="1:6">
      <c r="A312" t="s">
        <v>28</v>
      </c>
      <c r="B312" t="s">
        <v>18</v>
      </c>
      <c r="C312" t="s">
        <v>12</v>
      </c>
      <c r="D312">
        <v>26.44</v>
      </c>
      <c r="E312">
        <v>26.83</v>
      </c>
      <c r="F312" t="s">
        <v>11</v>
      </c>
    </row>
    <row r="313" spans="1:6">
      <c r="A313" t="s">
        <v>28</v>
      </c>
      <c r="B313" t="s">
        <v>18</v>
      </c>
      <c r="C313" t="s">
        <v>13</v>
      </c>
      <c r="D313">
        <v>23.48</v>
      </c>
      <c r="E313">
        <v>32.25</v>
      </c>
      <c r="F313" t="s">
        <v>11</v>
      </c>
    </row>
    <row r="314" spans="1:6">
      <c r="A314" t="s">
        <v>28</v>
      </c>
      <c r="B314" t="s">
        <v>18</v>
      </c>
      <c r="C314" t="s">
        <v>14</v>
      </c>
      <c r="D314">
        <v>42.08</v>
      </c>
      <c r="E314">
        <v>56.51</v>
      </c>
      <c r="F314" t="s">
        <v>11</v>
      </c>
    </row>
    <row r="315" spans="1:6">
      <c r="A315" t="s">
        <v>28</v>
      </c>
      <c r="B315" t="s">
        <v>18</v>
      </c>
      <c r="C315" t="s">
        <v>15</v>
      </c>
      <c r="D315">
        <v>72.709999999999994</v>
      </c>
      <c r="E315">
        <v>57.92</v>
      </c>
      <c r="F315" t="s">
        <v>9</v>
      </c>
    </row>
    <row r="316" spans="1:6">
      <c r="A316" t="s">
        <v>28</v>
      </c>
      <c r="B316" t="s">
        <v>18</v>
      </c>
      <c r="C316" t="s">
        <v>16</v>
      </c>
      <c r="D316">
        <v>69.33</v>
      </c>
      <c r="E316">
        <v>55.93</v>
      </c>
      <c r="F316" t="s">
        <v>9</v>
      </c>
    </row>
    <row r="317" spans="1:6">
      <c r="A317" t="s">
        <v>28</v>
      </c>
      <c r="B317" t="s">
        <v>19</v>
      </c>
      <c r="C317" t="s">
        <v>8</v>
      </c>
      <c r="D317">
        <v>55.25</v>
      </c>
      <c r="E317">
        <v>53.22</v>
      </c>
      <c r="F317" t="s">
        <v>9</v>
      </c>
    </row>
    <row r="318" spans="1:6">
      <c r="A318" t="s">
        <v>28</v>
      </c>
      <c r="B318" t="s">
        <v>19</v>
      </c>
      <c r="C318" t="s">
        <v>10</v>
      </c>
      <c r="D318">
        <v>3.97</v>
      </c>
      <c r="E318">
        <v>5.51</v>
      </c>
      <c r="F318" t="s">
        <v>11</v>
      </c>
    </row>
    <row r="319" spans="1:6">
      <c r="A319" t="s">
        <v>28</v>
      </c>
      <c r="B319" t="s">
        <v>19</v>
      </c>
      <c r="C319" t="s">
        <v>12</v>
      </c>
      <c r="D319">
        <v>45.56</v>
      </c>
      <c r="E319">
        <v>36.24</v>
      </c>
      <c r="F319" t="s">
        <v>9</v>
      </c>
    </row>
    <row r="320" spans="1:6">
      <c r="A320" t="s">
        <v>28</v>
      </c>
      <c r="B320" t="s">
        <v>19</v>
      </c>
      <c r="C320" t="s">
        <v>13</v>
      </c>
      <c r="D320">
        <v>9.69</v>
      </c>
      <c r="E320">
        <v>10.9</v>
      </c>
      <c r="F320" t="s">
        <v>11</v>
      </c>
    </row>
    <row r="321" spans="1:6">
      <c r="A321" t="s">
        <v>28</v>
      </c>
      <c r="B321" t="s">
        <v>19</v>
      </c>
      <c r="C321" t="s">
        <v>14</v>
      </c>
      <c r="D321">
        <v>75.41</v>
      </c>
      <c r="E321">
        <v>59.06</v>
      </c>
      <c r="F321" t="s">
        <v>9</v>
      </c>
    </row>
    <row r="322" spans="1:6">
      <c r="A322" t="s">
        <v>28</v>
      </c>
      <c r="B322" t="s">
        <v>19</v>
      </c>
      <c r="C322" t="s">
        <v>15</v>
      </c>
      <c r="D322">
        <v>21.73</v>
      </c>
      <c r="E322">
        <v>20.65</v>
      </c>
      <c r="F322" t="s">
        <v>9</v>
      </c>
    </row>
    <row r="323" spans="1:6">
      <c r="A323" t="s">
        <v>28</v>
      </c>
      <c r="B323" t="s">
        <v>19</v>
      </c>
      <c r="C323" t="s">
        <v>16</v>
      </c>
      <c r="D323">
        <v>68.39</v>
      </c>
      <c r="E323">
        <v>59.4</v>
      </c>
      <c r="F323" t="s">
        <v>9</v>
      </c>
    </row>
    <row r="324" spans="1:6">
      <c r="A324" t="s">
        <v>28</v>
      </c>
      <c r="B324" t="s">
        <v>20</v>
      </c>
      <c r="C324" t="s">
        <v>8</v>
      </c>
      <c r="D324">
        <v>39.33</v>
      </c>
      <c r="E324">
        <v>34.880000000000003</v>
      </c>
      <c r="F324" t="s">
        <v>9</v>
      </c>
    </row>
    <row r="325" spans="1:6">
      <c r="A325" t="s">
        <v>28</v>
      </c>
      <c r="B325" t="s">
        <v>20</v>
      </c>
      <c r="C325" t="s">
        <v>10</v>
      </c>
      <c r="D325">
        <v>30.21</v>
      </c>
      <c r="E325">
        <v>32.17</v>
      </c>
      <c r="F325" t="s">
        <v>11</v>
      </c>
    </row>
    <row r="326" spans="1:6">
      <c r="A326" t="s">
        <v>28</v>
      </c>
      <c r="B326" t="s">
        <v>20</v>
      </c>
      <c r="C326" t="s">
        <v>12</v>
      </c>
      <c r="D326">
        <v>42.25</v>
      </c>
      <c r="E326">
        <v>56.62</v>
      </c>
      <c r="F326" t="s">
        <v>11</v>
      </c>
    </row>
    <row r="327" spans="1:6">
      <c r="A327" t="s">
        <v>28</v>
      </c>
      <c r="B327" t="s">
        <v>20</v>
      </c>
      <c r="C327" t="s">
        <v>13</v>
      </c>
      <c r="D327">
        <v>41.32</v>
      </c>
      <c r="E327">
        <v>51.81</v>
      </c>
      <c r="F327" t="s">
        <v>11</v>
      </c>
    </row>
    <row r="328" spans="1:6">
      <c r="A328" t="s">
        <v>28</v>
      </c>
      <c r="B328" t="s">
        <v>20</v>
      </c>
      <c r="C328" t="s">
        <v>14</v>
      </c>
      <c r="D328">
        <v>25.95</v>
      </c>
      <c r="E328">
        <v>30.74</v>
      </c>
      <c r="F328" t="s">
        <v>11</v>
      </c>
    </row>
    <row r="329" spans="1:6">
      <c r="A329" t="s">
        <v>28</v>
      </c>
      <c r="B329" t="s">
        <v>20</v>
      </c>
      <c r="C329" t="s">
        <v>15</v>
      </c>
      <c r="D329">
        <v>18.73</v>
      </c>
      <c r="E329">
        <v>15.6</v>
      </c>
      <c r="F329" t="s">
        <v>9</v>
      </c>
    </row>
    <row r="330" spans="1:6">
      <c r="A330" t="s">
        <v>28</v>
      </c>
      <c r="B330" t="s">
        <v>20</v>
      </c>
      <c r="C330" t="s">
        <v>16</v>
      </c>
      <c r="D330">
        <v>10.46</v>
      </c>
      <c r="E330">
        <v>11.2</v>
      </c>
      <c r="F330" t="s">
        <v>11</v>
      </c>
    </row>
    <row r="331" spans="1:6">
      <c r="A331" t="s">
        <v>28</v>
      </c>
      <c r="B331" t="s">
        <v>21</v>
      </c>
      <c r="C331" t="s">
        <v>8</v>
      </c>
      <c r="D331">
        <v>17.260000000000002</v>
      </c>
      <c r="E331">
        <v>13.94</v>
      </c>
      <c r="F331" t="s">
        <v>9</v>
      </c>
    </row>
    <row r="332" spans="1:6">
      <c r="A332" t="s">
        <v>28</v>
      </c>
      <c r="B332" t="s">
        <v>21</v>
      </c>
      <c r="C332" t="s">
        <v>10</v>
      </c>
      <c r="D332">
        <v>27.19</v>
      </c>
      <c r="E332">
        <v>30.24</v>
      </c>
      <c r="F332" t="s">
        <v>11</v>
      </c>
    </row>
    <row r="333" spans="1:6">
      <c r="A333" t="s">
        <v>28</v>
      </c>
      <c r="B333" t="s">
        <v>21</v>
      </c>
      <c r="C333" t="s">
        <v>12</v>
      </c>
      <c r="D333">
        <v>22.09</v>
      </c>
      <c r="E333">
        <v>19.149999999999999</v>
      </c>
      <c r="F333" t="s">
        <v>9</v>
      </c>
    </row>
    <row r="334" spans="1:6">
      <c r="A334" t="s">
        <v>28</v>
      </c>
      <c r="B334" t="s">
        <v>21</v>
      </c>
      <c r="C334" t="s">
        <v>13</v>
      </c>
      <c r="D334">
        <v>11.95</v>
      </c>
      <c r="E334">
        <v>15.24</v>
      </c>
      <c r="F334" t="s">
        <v>11</v>
      </c>
    </row>
    <row r="335" spans="1:6">
      <c r="A335" t="s">
        <v>28</v>
      </c>
      <c r="B335" t="s">
        <v>21</v>
      </c>
      <c r="C335" t="s">
        <v>14</v>
      </c>
      <c r="D335">
        <v>58.85</v>
      </c>
      <c r="E335">
        <v>45.51</v>
      </c>
      <c r="F335" t="s">
        <v>9</v>
      </c>
    </row>
    <row r="336" spans="1:6">
      <c r="A336" t="s">
        <v>28</v>
      </c>
      <c r="B336" t="s">
        <v>21</v>
      </c>
      <c r="C336" t="s">
        <v>15</v>
      </c>
      <c r="D336">
        <v>55.01</v>
      </c>
      <c r="E336">
        <v>48.49</v>
      </c>
      <c r="F336" t="s">
        <v>9</v>
      </c>
    </row>
    <row r="337" spans="1:6">
      <c r="A337" t="s">
        <v>28</v>
      </c>
      <c r="B337" t="s">
        <v>21</v>
      </c>
      <c r="C337" t="s">
        <v>16</v>
      </c>
      <c r="D337">
        <v>36.25</v>
      </c>
      <c r="E337">
        <v>36.229999999999997</v>
      </c>
      <c r="F337" t="s">
        <v>9</v>
      </c>
    </row>
    <row r="338" spans="1:6">
      <c r="A338" t="s">
        <v>29</v>
      </c>
      <c r="B338" t="s">
        <v>7</v>
      </c>
      <c r="C338" t="s">
        <v>8</v>
      </c>
      <c r="D338">
        <v>20.51</v>
      </c>
      <c r="E338">
        <v>15.97</v>
      </c>
      <c r="F338" t="s">
        <v>9</v>
      </c>
    </row>
    <row r="339" spans="1:6">
      <c r="A339" t="s">
        <v>29</v>
      </c>
      <c r="B339" t="s">
        <v>7</v>
      </c>
      <c r="C339" t="s">
        <v>10</v>
      </c>
      <c r="D339">
        <v>42.48</v>
      </c>
      <c r="E339">
        <v>58.02</v>
      </c>
      <c r="F339" t="s">
        <v>11</v>
      </c>
    </row>
    <row r="340" spans="1:6">
      <c r="A340" t="s">
        <v>29</v>
      </c>
      <c r="B340" t="s">
        <v>7</v>
      </c>
      <c r="C340" t="s">
        <v>12</v>
      </c>
      <c r="D340">
        <v>21.8</v>
      </c>
      <c r="E340">
        <v>22.66</v>
      </c>
      <c r="F340" t="s">
        <v>11</v>
      </c>
    </row>
    <row r="341" spans="1:6">
      <c r="A341" t="s">
        <v>29</v>
      </c>
      <c r="B341" t="s">
        <v>7</v>
      </c>
      <c r="C341" t="s">
        <v>13</v>
      </c>
      <c r="D341">
        <v>48.75</v>
      </c>
      <c r="E341">
        <v>40.520000000000003</v>
      </c>
      <c r="F341" t="s">
        <v>9</v>
      </c>
    </row>
    <row r="342" spans="1:6">
      <c r="A342" t="s">
        <v>29</v>
      </c>
      <c r="B342" t="s">
        <v>7</v>
      </c>
      <c r="C342" t="s">
        <v>14</v>
      </c>
      <c r="D342">
        <v>49.69</v>
      </c>
      <c r="E342">
        <v>54.94</v>
      </c>
      <c r="F342" t="s">
        <v>11</v>
      </c>
    </row>
    <row r="343" spans="1:6">
      <c r="A343" t="s">
        <v>29</v>
      </c>
      <c r="B343" t="s">
        <v>7</v>
      </c>
      <c r="C343" t="s">
        <v>15</v>
      </c>
      <c r="D343">
        <v>11.52</v>
      </c>
      <c r="E343">
        <v>9.92</v>
      </c>
      <c r="F343" t="s">
        <v>9</v>
      </c>
    </row>
    <row r="344" spans="1:6">
      <c r="A344" t="s">
        <v>29</v>
      </c>
      <c r="B344" t="s">
        <v>7</v>
      </c>
      <c r="C344" t="s">
        <v>16</v>
      </c>
      <c r="D344">
        <v>46.56</v>
      </c>
      <c r="E344">
        <v>36.58</v>
      </c>
      <c r="F344" t="s">
        <v>9</v>
      </c>
    </row>
    <row r="345" spans="1:6">
      <c r="A345" t="s">
        <v>29</v>
      </c>
      <c r="B345" t="s">
        <v>17</v>
      </c>
      <c r="C345" t="s">
        <v>8</v>
      </c>
      <c r="D345">
        <v>32.299999999999997</v>
      </c>
      <c r="E345">
        <v>34.43</v>
      </c>
      <c r="F345" t="s">
        <v>11</v>
      </c>
    </row>
    <row r="346" spans="1:6">
      <c r="A346" t="s">
        <v>29</v>
      </c>
      <c r="B346" t="s">
        <v>17</v>
      </c>
      <c r="C346" t="s">
        <v>10</v>
      </c>
      <c r="D346">
        <v>52.12</v>
      </c>
      <c r="E346">
        <v>44.77</v>
      </c>
      <c r="F346" t="s">
        <v>9</v>
      </c>
    </row>
    <row r="347" spans="1:6">
      <c r="A347" t="s">
        <v>29</v>
      </c>
      <c r="B347" t="s">
        <v>17</v>
      </c>
      <c r="C347" t="s">
        <v>12</v>
      </c>
      <c r="D347">
        <v>40.57</v>
      </c>
      <c r="E347">
        <v>56.52</v>
      </c>
      <c r="F347" t="s">
        <v>11</v>
      </c>
    </row>
    <row r="348" spans="1:6">
      <c r="A348" t="s">
        <v>29</v>
      </c>
      <c r="B348" t="s">
        <v>17</v>
      </c>
      <c r="C348" t="s">
        <v>13</v>
      </c>
      <c r="D348">
        <v>47.72</v>
      </c>
      <c r="E348">
        <v>55.23</v>
      </c>
      <c r="F348" t="s">
        <v>11</v>
      </c>
    </row>
    <row r="349" spans="1:6">
      <c r="A349" t="s">
        <v>29</v>
      </c>
      <c r="B349" t="s">
        <v>17</v>
      </c>
      <c r="C349" t="s">
        <v>14</v>
      </c>
      <c r="D349">
        <v>18.95</v>
      </c>
      <c r="E349">
        <v>14.63</v>
      </c>
      <c r="F349" t="s">
        <v>9</v>
      </c>
    </row>
    <row r="350" spans="1:6">
      <c r="A350" t="s">
        <v>29</v>
      </c>
      <c r="B350" t="s">
        <v>17</v>
      </c>
      <c r="C350" t="s">
        <v>15</v>
      </c>
      <c r="D350">
        <v>53.22</v>
      </c>
      <c r="E350">
        <v>53.52</v>
      </c>
      <c r="F350" t="s">
        <v>11</v>
      </c>
    </row>
    <row r="351" spans="1:6">
      <c r="A351" t="s">
        <v>29</v>
      </c>
      <c r="B351" t="s">
        <v>17</v>
      </c>
      <c r="C351" t="s">
        <v>16</v>
      </c>
      <c r="D351">
        <v>13.4</v>
      </c>
      <c r="E351">
        <v>14.67</v>
      </c>
      <c r="F351" t="s">
        <v>11</v>
      </c>
    </row>
    <row r="352" spans="1:6">
      <c r="A352" t="s">
        <v>29</v>
      </c>
      <c r="B352" t="s">
        <v>18</v>
      </c>
      <c r="C352" t="s">
        <v>8</v>
      </c>
      <c r="D352">
        <v>70.290000000000006</v>
      </c>
      <c r="E352">
        <v>55.58</v>
      </c>
      <c r="F352" t="s">
        <v>9</v>
      </c>
    </row>
    <row r="353" spans="1:6">
      <c r="A353" t="s">
        <v>29</v>
      </c>
      <c r="B353" t="s">
        <v>18</v>
      </c>
      <c r="C353" t="s">
        <v>10</v>
      </c>
      <c r="D353">
        <v>57.39</v>
      </c>
      <c r="E353">
        <v>59.84</v>
      </c>
      <c r="F353" t="s">
        <v>11</v>
      </c>
    </row>
    <row r="354" spans="1:6">
      <c r="A354" t="s">
        <v>29</v>
      </c>
      <c r="B354" t="s">
        <v>18</v>
      </c>
      <c r="C354" t="s">
        <v>12</v>
      </c>
      <c r="D354">
        <v>29.72</v>
      </c>
      <c r="E354">
        <v>26.83</v>
      </c>
      <c r="F354" t="s">
        <v>9</v>
      </c>
    </row>
    <row r="355" spans="1:6">
      <c r="A355" t="s">
        <v>29</v>
      </c>
      <c r="B355" t="s">
        <v>18</v>
      </c>
      <c r="C355" t="s">
        <v>13</v>
      </c>
      <c r="D355">
        <v>35.36</v>
      </c>
      <c r="E355">
        <v>32.25</v>
      </c>
      <c r="F355" t="s">
        <v>9</v>
      </c>
    </row>
    <row r="356" spans="1:6">
      <c r="A356" t="s">
        <v>29</v>
      </c>
      <c r="B356" t="s">
        <v>18</v>
      </c>
      <c r="C356" t="s">
        <v>14</v>
      </c>
      <c r="D356">
        <v>42.46</v>
      </c>
      <c r="E356">
        <v>56.51</v>
      </c>
      <c r="F356" t="s">
        <v>11</v>
      </c>
    </row>
    <row r="357" spans="1:6">
      <c r="A357" t="s">
        <v>29</v>
      </c>
      <c r="B357" t="s">
        <v>18</v>
      </c>
      <c r="C357" t="s">
        <v>15</v>
      </c>
      <c r="D357">
        <v>62.04</v>
      </c>
      <c r="E357">
        <v>57.92</v>
      </c>
      <c r="F357" t="s">
        <v>9</v>
      </c>
    </row>
    <row r="358" spans="1:6">
      <c r="A358" t="s">
        <v>29</v>
      </c>
      <c r="B358" t="s">
        <v>18</v>
      </c>
      <c r="C358" t="s">
        <v>16</v>
      </c>
      <c r="D358">
        <v>65.930000000000007</v>
      </c>
      <c r="E358">
        <v>55.93</v>
      </c>
      <c r="F358" t="s">
        <v>9</v>
      </c>
    </row>
    <row r="359" spans="1:6">
      <c r="A359" t="s">
        <v>29</v>
      </c>
      <c r="B359" t="s">
        <v>19</v>
      </c>
      <c r="C359" t="s">
        <v>8</v>
      </c>
      <c r="D359">
        <v>60.02</v>
      </c>
      <c r="E359">
        <v>53.22</v>
      </c>
      <c r="F359" t="s">
        <v>9</v>
      </c>
    </row>
    <row r="360" spans="1:6">
      <c r="A360" t="s">
        <v>29</v>
      </c>
      <c r="B360" t="s">
        <v>19</v>
      </c>
      <c r="C360" t="s">
        <v>10</v>
      </c>
      <c r="D360">
        <v>4.13</v>
      </c>
      <c r="E360">
        <v>5.51</v>
      </c>
      <c r="F360" t="s">
        <v>11</v>
      </c>
    </row>
    <row r="361" spans="1:6">
      <c r="A361" t="s">
        <v>29</v>
      </c>
      <c r="B361" t="s">
        <v>19</v>
      </c>
      <c r="C361" t="s">
        <v>12</v>
      </c>
      <c r="D361">
        <v>28.72</v>
      </c>
      <c r="E361">
        <v>36.24</v>
      </c>
      <c r="F361" t="s">
        <v>11</v>
      </c>
    </row>
    <row r="362" spans="1:6">
      <c r="A362" t="s">
        <v>29</v>
      </c>
      <c r="B362" t="s">
        <v>19</v>
      </c>
      <c r="C362" t="s">
        <v>13</v>
      </c>
      <c r="D362">
        <v>12.28</v>
      </c>
      <c r="E362">
        <v>10.9</v>
      </c>
      <c r="F362" t="s">
        <v>9</v>
      </c>
    </row>
    <row r="363" spans="1:6">
      <c r="A363" t="s">
        <v>29</v>
      </c>
      <c r="B363" t="s">
        <v>19</v>
      </c>
      <c r="C363" t="s">
        <v>14</v>
      </c>
      <c r="D363">
        <v>63.8</v>
      </c>
      <c r="E363">
        <v>59.06</v>
      </c>
      <c r="F363" t="s">
        <v>9</v>
      </c>
    </row>
    <row r="364" spans="1:6">
      <c r="A364" t="s">
        <v>29</v>
      </c>
      <c r="B364" t="s">
        <v>19</v>
      </c>
      <c r="C364" t="s">
        <v>15</v>
      </c>
      <c r="D364">
        <v>23.62</v>
      </c>
      <c r="E364">
        <v>20.65</v>
      </c>
      <c r="F364" t="s">
        <v>9</v>
      </c>
    </row>
    <row r="365" spans="1:6">
      <c r="A365" t="s">
        <v>29</v>
      </c>
      <c r="B365" t="s">
        <v>19</v>
      </c>
      <c r="C365" t="s">
        <v>16</v>
      </c>
      <c r="D365">
        <v>52.87</v>
      </c>
      <c r="E365">
        <v>59.4</v>
      </c>
      <c r="F365" t="s">
        <v>11</v>
      </c>
    </row>
    <row r="366" spans="1:6">
      <c r="A366" t="s">
        <v>29</v>
      </c>
      <c r="B366" t="s">
        <v>20</v>
      </c>
      <c r="C366" t="s">
        <v>8</v>
      </c>
      <c r="D366">
        <v>26.65</v>
      </c>
      <c r="E366">
        <v>34.880000000000003</v>
      </c>
      <c r="F366" t="s">
        <v>11</v>
      </c>
    </row>
    <row r="367" spans="1:6">
      <c r="A367" t="s">
        <v>29</v>
      </c>
      <c r="B367" t="s">
        <v>20</v>
      </c>
      <c r="C367" t="s">
        <v>10</v>
      </c>
      <c r="D367">
        <v>22.62</v>
      </c>
      <c r="E367">
        <v>32.17</v>
      </c>
      <c r="F367" t="s">
        <v>11</v>
      </c>
    </row>
    <row r="368" spans="1:6">
      <c r="A368" t="s">
        <v>29</v>
      </c>
      <c r="B368" t="s">
        <v>20</v>
      </c>
      <c r="C368" t="s">
        <v>12</v>
      </c>
      <c r="D368">
        <v>50.11</v>
      </c>
      <c r="E368">
        <v>56.62</v>
      </c>
      <c r="F368" t="s">
        <v>11</v>
      </c>
    </row>
    <row r="369" spans="1:6">
      <c r="A369" t="s">
        <v>29</v>
      </c>
      <c r="B369" t="s">
        <v>20</v>
      </c>
      <c r="C369" t="s">
        <v>13</v>
      </c>
      <c r="D369">
        <v>47.46</v>
      </c>
      <c r="E369">
        <v>51.81</v>
      </c>
      <c r="F369" t="s">
        <v>11</v>
      </c>
    </row>
    <row r="370" spans="1:6">
      <c r="A370" t="s">
        <v>29</v>
      </c>
      <c r="B370" t="s">
        <v>20</v>
      </c>
      <c r="C370" t="s">
        <v>14</v>
      </c>
      <c r="D370">
        <v>26.49</v>
      </c>
      <c r="E370">
        <v>30.74</v>
      </c>
      <c r="F370" t="s">
        <v>11</v>
      </c>
    </row>
    <row r="371" spans="1:6">
      <c r="A371" t="s">
        <v>29</v>
      </c>
      <c r="B371" t="s">
        <v>20</v>
      </c>
      <c r="C371" t="s">
        <v>15</v>
      </c>
      <c r="D371">
        <v>12.16</v>
      </c>
      <c r="E371">
        <v>15.6</v>
      </c>
      <c r="F371" t="s">
        <v>11</v>
      </c>
    </row>
    <row r="372" spans="1:6">
      <c r="A372" t="s">
        <v>29</v>
      </c>
      <c r="B372" t="s">
        <v>20</v>
      </c>
      <c r="C372" t="s">
        <v>16</v>
      </c>
      <c r="D372">
        <v>9.1</v>
      </c>
      <c r="E372">
        <v>11.2</v>
      </c>
      <c r="F372" t="s">
        <v>11</v>
      </c>
    </row>
    <row r="373" spans="1:6">
      <c r="A373" t="s">
        <v>29</v>
      </c>
      <c r="B373" t="s">
        <v>21</v>
      </c>
      <c r="C373" t="s">
        <v>8</v>
      </c>
      <c r="D373">
        <v>13.51</v>
      </c>
      <c r="E373">
        <v>13.94</v>
      </c>
      <c r="F373" t="s">
        <v>11</v>
      </c>
    </row>
    <row r="374" spans="1:6">
      <c r="A374" t="s">
        <v>29</v>
      </c>
      <c r="B374" t="s">
        <v>21</v>
      </c>
      <c r="C374" t="s">
        <v>10</v>
      </c>
      <c r="D374">
        <v>31.23</v>
      </c>
      <c r="E374">
        <v>30.24</v>
      </c>
      <c r="F374" t="s">
        <v>9</v>
      </c>
    </row>
    <row r="375" spans="1:6">
      <c r="A375" t="s">
        <v>29</v>
      </c>
      <c r="B375" t="s">
        <v>21</v>
      </c>
      <c r="C375" t="s">
        <v>12</v>
      </c>
      <c r="D375">
        <v>18.09</v>
      </c>
      <c r="E375">
        <v>19.149999999999999</v>
      </c>
      <c r="F375" t="s">
        <v>11</v>
      </c>
    </row>
    <row r="376" spans="1:6">
      <c r="A376" t="s">
        <v>29</v>
      </c>
      <c r="B376" t="s">
        <v>21</v>
      </c>
      <c r="C376" t="s">
        <v>13</v>
      </c>
      <c r="D376">
        <v>10.91</v>
      </c>
      <c r="E376">
        <v>15.24</v>
      </c>
      <c r="F376" t="s">
        <v>11</v>
      </c>
    </row>
    <row r="377" spans="1:6">
      <c r="A377" t="s">
        <v>29</v>
      </c>
      <c r="B377" t="s">
        <v>21</v>
      </c>
      <c r="C377" t="s">
        <v>14</v>
      </c>
      <c r="D377">
        <v>41.52</v>
      </c>
      <c r="E377">
        <v>45.51</v>
      </c>
      <c r="F377" t="s">
        <v>11</v>
      </c>
    </row>
    <row r="378" spans="1:6">
      <c r="A378" t="s">
        <v>29</v>
      </c>
      <c r="B378" t="s">
        <v>21</v>
      </c>
      <c r="C378" t="s">
        <v>15</v>
      </c>
      <c r="D378">
        <v>36.65</v>
      </c>
      <c r="E378">
        <v>48.49</v>
      </c>
      <c r="F378" t="s">
        <v>11</v>
      </c>
    </row>
    <row r="379" spans="1:6">
      <c r="A379" t="s">
        <v>29</v>
      </c>
      <c r="B379" t="s">
        <v>21</v>
      </c>
      <c r="C379" t="s">
        <v>16</v>
      </c>
      <c r="D379">
        <v>38.36</v>
      </c>
      <c r="E379">
        <v>36.229999999999997</v>
      </c>
      <c r="F379" t="s">
        <v>9</v>
      </c>
    </row>
    <row r="380" spans="1:6">
      <c r="A380" t="s">
        <v>30</v>
      </c>
      <c r="B380" t="s">
        <v>7</v>
      </c>
      <c r="C380" t="s">
        <v>8</v>
      </c>
      <c r="D380">
        <v>14.29</v>
      </c>
      <c r="E380">
        <v>15.97</v>
      </c>
      <c r="F380" t="s">
        <v>11</v>
      </c>
    </row>
    <row r="381" spans="1:6">
      <c r="A381" t="s">
        <v>30</v>
      </c>
      <c r="B381" t="s">
        <v>7</v>
      </c>
      <c r="C381" t="s">
        <v>10</v>
      </c>
      <c r="D381">
        <v>54.02</v>
      </c>
      <c r="E381">
        <v>58.02</v>
      </c>
      <c r="F381" t="s">
        <v>11</v>
      </c>
    </row>
    <row r="382" spans="1:6">
      <c r="A382" t="s">
        <v>30</v>
      </c>
      <c r="B382" t="s">
        <v>7</v>
      </c>
      <c r="C382" t="s">
        <v>12</v>
      </c>
      <c r="D382">
        <v>19.829999999999998</v>
      </c>
      <c r="E382">
        <v>22.66</v>
      </c>
      <c r="F382" t="s">
        <v>11</v>
      </c>
    </row>
    <row r="383" spans="1:6">
      <c r="A383" t="s">
        <v>30</v>
      </c>
      <c r="B383" t="s">
        <v>7</v>
      </c>
      <c r="C383" t="s">
        <v>13</v>
      </c>
      <c r="D383">
        <v>37.79</v>
      </c>
      <c r="E383">
        <v>40.520000000000003</v>
      </c>
      <c r="F383" t="s">
        <v>11</v>
      </c>
    </row>
    <row r="384" spans="1:6">
      <c r="A384" t="s">
        <v>30</v>
      </c>
      <c r="B384" t="s">
        <v>7</v>
      </c>
      <c r="C384" t="s">
        <v>14</v>
      </c>
      <c r="D384">
        <v>41.25</v>
      </c>
      <c r="E384">
        <v>54.94</v>
      </c>
      <c r="F384" t="s">
        <v>11</v>
      </c>
    </row>
    <row r="385" spans="1:6">
      <c r="A385" t="s">
        <v>30</v>
      </c>
      <c r="B385" t="s">
        <v>7</v>
      </c>
      <c r="C385" t="s">
        <v>15</v>
      </c>
      <c r="D385">
        <v>12.31</v>
      </c>
      <c r="E385">
        <v>9.92</v>
      </c>
      <c r="F385" t="s">
        <v>9</v>
      </c>
    </row>
    <row r="386" spans="1:6">
      <c r="A386" t="s">
        <v>30</v>
      </c>
      <c r="B386" t="s">
        <v>7</v>
      </c>
      <c r="C386" t="s">
        <v>16</v>
      </c>
      <c r="D386">
        <v>45.47</v>
      </c>
      <c r="E386">
        <v>36.58</v>
      </c>
      <c r="F386" t="s">
        <v>9</v>
      </c>
    </row>
    <row r="387" spans="1:6">
      <c r="A387" t="s">
        <v>30</v>
      </c>
      <c r="B387" t="s">
        <v>17</v>
      </c>
      <c r="C387" t="s">
        <v>8</v>
      </c>
      <c r="D387">
        <v>44.31</v>
      </c>
      <c r="E387">
        <v>34.43</v>
      </c>
      <c r="F387" t="s">
        <v>9</v>
      </c>
    </row>
    <row r="388" spans="1:6">
      <c r="A388" t="s">
        <v>30</v>
      </c>
      <c r="B388" t="s">
        <v>17</v>
      </c>
      <c r="C388" t="s">
        <v>10</v>
      </c>
      <c r="D388">
        <v>46.7</v>
      </c>
      <c r="E388">
        <v>44.77</v>
      </c>
      <c r="F388" t="s">
        <v>9</v>
      </c>
    </row>
    <row r="389" spans="1:6">
      <c r="A389" t="s">
        <v>30</v>
      </c>
      <c r="B389" t="s">
        <v>17</v>
      </c>
      <c r="C389" t="s">
        <v>12</v>
      </c>
      <c r="D389">
        <v>45.31</v>
      </c>
      <c r="E389">
        <v>56.52</v>
      </c>
      <c r="F389" t="s">
        <v>11</v>
      </c>
    </row>
    <row r="390" spans="1:6">
      <c r="A390" t="s">
        <v>30</v>
      </c>
      <c r="B390" t="s">
        <v>17</v>
      </c>
      <c r="C390" t="s">
        <v>13</v>
      </c>
      <c r="D390">
        <v>51.28</v>
      </c>
      <c r="E390">
        <v>55.23</v>
      </c>
      <c r="F390" t="s">
        <v>11</v>
      </c>
    </row>
    <row r="391" spans="1:6">
      <c r="A391" t="s">
        <v>30</v>
      </c>
      <c r="B391" t="s">
        <v>17</v>
      </c>
      <c r="C391" t="s">
        <v>14</v>
      </c>
      <c r="D391">
        <v>11.46</v>
      </c>
      <c r="E391">
        <v>14.63</v>
      </c>
      <c r="F391" t="s">
        <v>11</v>
      </c>
    </row>
    <row r="392" spans="1:6">
      <c r="A392" t="s">
        <v>30</v>
      </c>
      <c r="B392" t="s">
        <v>17</v>
      </c>
      <c r="C392" t="s">
        <v>15</v>
      </c>
      <c r="D392">
        <v>47.13</v>
      </c>
      <c r="E392">
        <v>53.52</v>
      </c>
      <c r="F392" t="s">
        <v>11</v>
      </c>
    </row>
    <row r="393" spans="1:6">
      <c r="A393" t="s">
        <v>30</v>
      </c>
      <c r="B393" t="s">
        <v>17</v>
      </c>
      <c r="C393" t="s">
        <v>16</v>
      </c>
      <c r="D393">
        <v>14.61</v>
      </c>
      <c r="E393">
        <v>14.67</v>
      </c>
      <c r="F393" t="s">
        <v>11</v>
      </c>
    </row>
    <row r="394" spans="1:6">
      <c r="A394" t="s">
        <v>30</v>
      </c>
      <c r="B394" t="s">
        <v>18</v>
      </c>
      <c r="C394" t="s">
        <v>8</v>
      </c>
      <c r="D394">
        <v>41.02</v>
      </c>
      <c r="E394">
        <v>55.58</v>
      </c>
      <c r="F394" t="s">
        <v>11</v>
      </c>
    </row>
    <row r="395" spans="1:6">
      <c r="A395" t="s">
        <v>30</v>
      </c>
      <c r="B395" t="s">
        <v>18</v>
      </c>
      <c r="C395" t="s">
        <v>10</v>
      </c>
      <c r="D395">
        <v>57.49</v>
      </c>
      <c r="E395">
        <v>59.84</v>
      </c>
      <c r="F395" t="s">
        <v>11</v>
      </c>
    </row>
    <row r="396" spans="1:6">
      <c r="A396" t="s">
        <v>30</v>
      </c>
      <c r="B396" t="s">
        <v>18</v>
      </c>
      <c r="C396" t="s">
        <v>12</v>
      </c>
      <c r="D396">
        <v>25.56</v>
      </c>
      <c r="E396">
        <v>26.83</v>
      </c>
      <c r="F396" t="s">
        <v>11</v>
      </c>
    </row>
    <row r="397" spans="1:6">
      <c r="A397" t="s">
        <v>30</v>
      </c>
      <c r="B397" t="s">
        <v>18</v>
      </c>
      <c r="C397" t="s">
        <v>13</v>
      </c>
      <c r="D397">
        <v>31.94</v>
      </c>
      <c r="E397">
        <v>32.25</v>
      </c>
      <c r="F397" t="s">
        <v>11</v>
      </c>
    </row>
    <row r="398" spans="1:6">
      <c r="A398" t="s">
        <v>30</v>
      </c>
      <c r="B398" t="s">
        <v>18</v>
      </c>
      <c r="C398" t="s">
        <v>14</v>
      </c>
      <c r="D398">
        <v>42.17</v>
      </c>
      <c r="E398">
        <v>56.51</v>
      </c>
      <c r="F398" t="s">
        <v>11</v>
      </c>
    </row>
    <row r="399" spans="1:6">
      <c r="A399" t="s">
        <v>30</v>
      </c>
      <c r="B399" t="s">
        <v>18</v>
      </c>
      <c r="C399" t="s">
        <v>15</v>
      </c>
      <c r="D399">
        <v>49.29</v>
      </c>
      <c r="E399">
        <v>57.92</v>
      </c>
      <c r="F399" t="s">
        <v>11</v>
      </c>
    </row>
    <row r="400" spans="1:6">
      <c r="A400" t="s">
        <v>30</v>
      </c>
      <c r="B400" t="s">
        <v>18</v>
      </c>
      <c r="C400" t="s">
        <v>16</v>
      </c>
      <c r="D400">
        <v>47.43</v>
      </c>
      <c r="E400">
        <v>55.93</v>
      </c>
      <c r="F400" t="s">
        <v>11</v>
      </c>
    </row>
    <row r="401" spans="1:6">
      <c r="A401" t="s">
        <v>30</v>
      </c>
      <c r="B401" t="s">
        <v>19</v>
      </c>
      <c r="C401" t="s">
        <v>8</v>
      </c>
      <c r="D401">
        <v>57.21</v>
      </c>
      <c r="E401">
        <v>53.22</v>
      </c>
      <c r="F401" t="s">
        <v>9</v>
      </c>
    </row>
    <row r="402" spans="1:6">
      <c r="A402" t="s">
        <v>30</v>
      </c>
      <c r="B402" t="s">
        <v>19</v>
      </c>
      <c r="C402" t="s">
        <v>10</v>
      </c>
      <c r="D402">
        <v>5.82</v>
      </c>
      <c r="E402">
        <v>5.51</v>
      </c>
      <c r="F402" t="s">
        <v>9</v>
      </c>
    </row>
    <row r="403" spans="1:6">
      <c r="A403" t="s">
        <v>30</v>
      </c>
      <c r="B403" t="s">
        <v>19</v>
      </c>
      <c r="C403" t="s">
        <v>12</v>
      </c>
      <c r="D403">
        <v>29.62</v>
      </c>
      <c r="E403">
        <v>36.24</v>
      </c>
      <c r="F403" t="s">
        <v>11</v>
      </c>
    </row>
    <row r="404" spans="1:6">
      <c r="A404" t="s">
        <v>30</v>
      </c>
      <c r="B404" t="s">
        <v>19</v>
      </c>
      <c r="C404" t="s">
        <v>13</v>
      </c>
      <c r="D404">
        <v>8.33</v>
      </c>
      <c r="E404">
        <v>10.9</v>
      </c>
      <c r="F404" t="s">
        <v>11</v>
      </c>
    </row>
    <row r="405" spans="1:6">
      <c r="A405" t="s">
        <v>30</v>
      </c>
      <c r="B405" t="s">
        <v>19</v>
      </c>
      <c r="C405" t="s">
        <v>14</v>
      </c>
      <c r="D405">
        <v>52.14</v>
      </c>
      <c r="E405">
        <v>59.06</v>
      </c>
      <c r="F405" t="s">
        <v>11</v>
      </c>
    </row>
    <row r="406" spans="1:6">
      <c r="A406" t="s">
        <v>30</v>
      </c>
      <c r="B406" t="s">
        <v>19</v>
      </c>
      <c r="C406" t="s">
        <v>15</v>
      </c>
      <c r="D406">
        <v>26.21</v>
      </c>
      <c r="E406">
        <v>20.65</v>
      </c>
      <c r="F406" t="s">
        <v>9</v>
      </c>
    </row>
    <row r="407" spans="1:6">
      <c r="A407" t="s">
        <v>30</v>
      </c>
      <c r="B407" t="s">
        <v>19</v>
      </c>
      <c r="C407" t="s">
        <v>16</v>
      </c>
      <c r="D407">
        <v>53.42</v>
      </c>
      <c r="E407">
        <v>59.4</v>
      </c>
      <c r="F407" t="s">
        <v>11</v>
      </c>
    </row>
    <row r="408" spans="1:6">
      <c r="A408" t="s">
        <v>30</v>
      </c>
      <c r="B408" t="s">
        <v>20</v>
      </c>
      <c r="C408" t="s">
        <v>8</v>
      </c>
      <c r="D408">
        <v>37.4</v>
      </c>
      <c r="E408">
        <v>34.880000000000003</v>
      </c>
      <c r="F408" t="s">
        <v>9</v>
      </c>
    </row>
    <row r="409" spans="1:6">
      <c r="A409" t="s">
        <v>30</v>
      </c>
      <c r="B409" t="s">
        <v>20</v>
      </c>
      <c r="C409" t="s">
        <v>10</v>
      </c>
      <c r="D409">
        <v>38.04</v>
      </c>
      <c r="E409">
        <v>32.17</v>
      </c>
      <c r="F409" t="s">
        <v>9</v>
      </c>
    </row>
    <row r="410" spans="1:6">
      <c r="A410" t="s">
        <v>30</v>
      </c>
      <c r="B410" t="s">
        <v>20</v>
      </c>
      <c r="C410" t="s">
        <v>12</v>
      </c>
      <c r="D410">
        <v>50.83</v>
      </c>
      <c r="E410">
        <v>56.62</v>
      </c>
      <c r="F410" t="s">
        <v>11</v>
      </c>
    </row>
    <row r="411" spans="1:6">
      <c r="A411" t="s">
        <v>30</v>
      </c>
      <c r="B411" t="s">
        <v>20</v>
      </c>
      <c r="C411" t="s">
        <v>13</v>
      </c>
      <c r="D411">
        <v>46.67</v>
      </c>
      <c r="E411">
        <v>51.81</v>
      </c>
      <c r="F411" t="s">
        <v>11</v>
      </c>
    </row>
    <row r="412" spans="1:6">
      <c r="A412" t="s">
        <v>30</v>
      </c>
      <c r="B412" t="s">
        <v>20</v>
      </c>
      <c r="C412" t="s">
        <v>14</v>
      </c>
      <c r="D412">
        <v>36.56</v>
      </c>
      <c r="E412">
        <v>30.74</v>
      </c>
      <c r="F412" t="s">
        <v>9</v>
      </c>
    </row>
    <row r="413" spans="1:6">
      <c r="A413" t="s">
        <v>30</v>
      </c>
      <c r="B413" t="s">
        <v>20</v>
      </c>
      <c r="C413" t="s">
        <v>15</v>
      </c>
      <c r="D413">
        <v>18.96</v>
      </c>
      <c r="E413">
        <v>15.6</v>
      </c>
      <c r="F413" t="s">
        <v>9</v>
      </c>
    </row>
    <row r="414" spans="1:6">
      <c r="A414" t="s">
        <v>30</v>
      </c>
      <c r="B414" t="s">
        <v>20</v>
      </c>
      <c r="C414" t="s">
        <v>16</v>
      </c>
      <c r="D414">
        <v>14.39</v>
      </c>
      <c r="E414">
        <v>11.2</v>
      </c>
      <c r="F414" t="s">
        <v>9</v>
      </c>
    </row>
    <row r="415" spans="1:6">
      <c r="A415" t="s">
        <v>30</v>
      </c>
      <c r="B415" t="s">
        <v>21</v>
      </c>
      <c r="C415" t="s">
        <v>8</v>
      </c>
      <c r="D415">
        <v>10.9</v>
      </c>
      <c r="E415">
        <v>13.94</v>
      </c>
      <c r="F415" t="s">
        <v>11</v>
      </c>
    </row>
    <row r="416" spans="1:6">
      <c r="A416" t="s">
        <v>30</v>
      </c>
      <c r="B416" t="s">
        <v>21</v>
      </c>
      <c r="C416" t="s">
        <v>10</v>
      </c>
      <c r="D416">
        <v>26.99</v>
      </c>
      <c r="E416">
        <v>30.24</v>
      </c>
      <c r="F416" t="s">
        <v>11</v>
      </c>
    </row>
    <row r="417" spans="1:6">
      <c r="A417" t="s">
        <v>30</v>
      </c>
      <c r="B417" t="s">
        <v>21</v>
      </c>
      <c r="C417" t="s">
        <v>12</v>
      </c>
      <c r="D417">
        <v>24.29</v>
      </c>
      <c r="E417">
        <v>19.149999999999999</v>
      </c>
      <c r="F417" t="s">
        <v>9</v>
      </c>
    </row>
    <row r="418" spans="1:6">
      <c r="A418" t="s">
        <v>30</v>
      </c>
      <c r="B418" t="s">
        <v>21</v>
      </c>
      <c r="C418" t="s">
        <v>13</v>
      </c>
      <c r="D418">
        <v>12.5</v>
      </c>
      <c r="E418">
        <v>15.24</v>
      </c>
      <c r="F418" t="s">
        <v>11</v>
      </c>
    </row>
    <row r="419" spans="1:6">
      <c r="A419" t="s">
        <v>30</v>
      </c>
      <c r="B419" t="s">
        <v>21</v>
      </c>
      <c r="C419" t="s">
        <v>14</v>
      </c>
      <c r="D419">
        <v>40.44</v>
      </c>
      <c r="E419">
        <v>45.51</v>
      </c>
      <c r="F419" t="s">
        <v>11</v>
      </c>
    </row>
    <row r="420" spans="1:6">
      <c r="A420" t="s">
        <v>30</v>
      </c>
      <c r="B420" t="s">
        <v>21</v>
      </c>
      <c r="C420" t="s">
        <v>15</v>
      </c>
      <c r="D420">
        <v>62.01</v>
      </c>
      <c r="E420">
        <v>48.49</v>
      </c>
      <c r="F420" t="s">
        <v>9</v>
      </c>
    </row>
    <row r="421" spans="1:6">
      <c r="A421" t="s">
        <v>30</v>
      </c>
      <c r="B421" t="s">
        <v>21</v>
      </c>
      <c r="C421" t="s">
        <v>16</v>
      </c>
      <c r="D421">
        <v>46.42</v>
      </c>
      <c r="E421">
        <v>36.229999999999997</v>
      </c>
      <c r="F421" t="s">
        <v>9</v>
      </c>
    </row>
    <row r="422" spans="1:6">
      <c r="A422" t="s">
        <v>31</v>
      </c>
      <c r="B422" t="s">
        <v>7</v>
      </c>
      <c r="C422" t="s">
        <v>8</v>
      </c>
      <c r="D422">
        <v>13.97</v>
      </c>
      <c r="E422">
        <v>15.97</v>
      </c>
      <c r="F422" t="s">
        <v>11</v>
      </c>
    </row>
    <row r="423" spans="1:6">
      <c r="A423" t="s">
        <v>31</v>
      </c>
      <c r="B423" t="s">
        <v>7</v>
      </c>
      <c r="C423" t="s">
        <v>10</v>
      </c>
      <c r="D423">
        <v>64.81</v>
      </c>
      <c r="E423">
        <v>58.02</v>
      </c>
      <c r="F423" t="s">
        <v>9</v>
      </c>
    </row>
    <row r="424" spans="1:6">
      <c r="A424" t="s">
        <v>31</v>
      </c>
      <c r="B424" t="s">
        <v>7</v>
      </c>
      <c r="C424" t="s">
        <v>12</v>
      </c>
      <c r="D424">
        <v>22.54</v>
      </c>
      <c r="E424">
        <v>22.66</v>
      </c>
      <c r="F424" t="s">
        <v>11</v>
      </c>
    </row>
    <row r="425" spans="1:6">
      <c r="A425" t="s">
        <v>31</v>
      </c>
      <c r="B425" t="s">
        <v>7</v>
      </c>
      <c r="C425" t="s">
        <v>13</v>
      </c>
      <c r="D425">
        <v>42.36</v>
      </c>
      <c r="E425">
        <v>40.520000000000003</v>
      </c>
      <c r="F425" t="s">
        <v>9</v>
      </c>
    </row>
    <row r="426" spans="1:6">
      <c r="A426" t="s">
        <v>31</v>
      </c>
      <c r="B426" t="s">
        <v>7</v>
      </c>
      <c r="C426" t="s">
        <v>14</v>
      </c>
      <c r="D426">
        <v>46.45</v>
      </c>
      <c r="E426">
        <v>54.94</v>
      </c>
      <c r="F426" t="s">
        <v>11</v>
      </c>
    </row>
    <row r="427" spans="1:6">
      <c r="A427" t="s">
        <v>31</v>
      </c>
      <c r="B427" t="s">
        <v>7</v>
      </c>
      <c r="C427" t="s">
        <v>15</v>
      </c>
      <c r="D427">
        <v>9.18</v>
      </c>
      <c r="E427">
        <v>9.92</v>
      </c>
      <c r="F427" t="s">
        <v>11</v>
      </c>
    </row>
    <row r="428" spans="1:6">
      <c r="A428" t="s">
        <v>31</v>
      </c>
      <c r="B428" t="s">
        <v>7</v>
      </c>
      <c r="C428" t="s">
        <v>16</v>
      </c>
      <c r="D428">
        <v>43.53</v>
      </c>
      <c r="E428">
        <v>36.58</v>
      </c>
      <c r="F428" t="s">
        <v>9</v>
      </c>
    </row>
    <row r="429" spans="1:6">
      <c r="A429" t="s">
        <v>31</v>
      </c>
      <c r="B429" t="s">
        <v>17</v>
      </c>
      <c r="C429" t="s">
        <v>8</v>
      </c>
      <c r="D429">
        <v>32.22</v>
      </c>
      <c r="E429">
        <v>34.43</v>
      </c>
      <c r="F429" t="s">
        <v>11</v>
      </c>
    </row>
    <row r="430" spans="1:6">
      <c r="A430" t="s">
        <v>31</v>
      </c>
      <c r="B430" t="s">
        <v>17</v>
      </c>
      <c r="C430" t="s">
        <v>10</v>
      </c>
      <c r="D430">
        <v>34.4</v>
      </c>
      <c r="E430">
        <v>44.77</v>
      </c>
      <c r="F430" t="s">
        <v>11</v>
      </c>
    </row>
    <row r="431" spans="1:6">
      <c r="A431" t="s">
        <v>31</v>
      </c>
      <c r="B431" t="s">
        <v>17</v>
      </c>
      <c r="C431" t="s">
        <v>12</v>
      </c>
      <c r="D431">
        <v>58.69</v>
      </c>
      <c r="E431">
        <v>56.52</v>
      </c>
      <c r="F431" t="s">
        <v>9</v>
      </c>
    </row>
    <row r="432" spans="1:6">
      <c r="A432" t="s">
        <v>31</v>
      </c>
      <c r="B432" t="s">
        <v>17</v>
      </c>
      <c r="C432" t="s">
        <v>13</v>
      </c>
      <c r="D432">
        <v>58.29</v>
      </c>
      <c r="E432">
        <v>55.23</v>
      </c>
      <c r="F432" t="s">
        <v>9</v>
      </c>
    </row>
    <row r="433" spans="1:6">
      <c r="A433" t="s">
        <v>31</v>
      </c>
      <c r="B433" t="s">
        <v>17</v>
      </c>
      <c r="C433" t="s">
        <v>14</v>
      </c>
      <c r="D433">
        <v>15.03</v>
      </c>
      <c r="E433">
        <v>14.63</v>
      </c>
      <c r="F433" t="s">
        <v>9</v>
      </c>
    </row>
    <row r="434" spans="1:6">
      <c r="A434" t="s">
        <v>31</v>
      </c>
      <c r="B434" t="s">
        <v>17</v>
      </c>
      <c r="C434" t="s">
        <v>15</v>
      </c>
      <c r="D434">
        <v>59.36</v>
      </c>
      <c r="E434">
        <v>53.52</v>
      </c>
      <c r="F434" t="s">
        <v>9</v>
      </c>
    </row>
    <row r="435" spans="1:6">
      <c r="A435" t="s">
        <v>31</v>
      </c>
      <c r="B435" t="s">
        <v>17</v>
      </c>
      <c r="C435" t="s">
        <v>16</v>
      </c>
      <c r="D435">
        <v>15.11</v>
      </c>
      <c r="E435">
        <v>14.67</v>
      </c>
      <c r="F435" t="s">
        <v>9</v>
      </c>
    </row>
    <row r="436" spans="1:6">
      <c r="A436" t="s">
        <v>31</v>
      </c>
      <c r="B436" t="s">
        <v>18</v>
      </c>
      <c r="C436" t="s">
        <v>8</v>
      </c>
      <c r="D436">
        <v>70.69</v>
      </c>
      <c r="E436">
        <v>55.58</v>
      </c>
      <c r="F436" t="s">
        <v>9</v>
      </c>
    </row>
    <row r="437" spans="1:6">
      <c r="A437" t="s">
        <v>31</v>
      </c>
      <c r="B437" t="s">
        <v>18</v>
      </c>
      <c r="C437" t="s">
        <v>10</v>
      </c>
      <c r="D437">
        <v>58.46</v>
      </c>
      <c r="E437">
        <v>59.84</v>
      </c>
      <c r="F437" t="s">
        <v>11</v>
      </c>
    </row>
    <row r="438" spans="1:6">
      <c r="A438" t="s">
        <v>31</v>
      </c>
      <c r="B438" t="s">
        <v>18</v>
      </c>
      <c r="C438" t="s">
        <v>12</v>
      </c>
      <c r="D438">
        <v>30.18</v>
      </c>
      <c r="E438">
        <v>26.83</v>
      </c>
      <c r="F438" t="s">
        <v>9</v>
      </c>
    </row>
    <row r="439" spans="1:6">
      <c r="A439" t="s">
        <v>31</v>
      </c>
      <c r="B439" t="s">
        <v>18</v>
      </c>
      <c r="C439" t="s">
        <v>13</v>
      </c>
      <c r="D439">
        <v>31.06</v>
      </c>
      <c r="E439">
        <v>32.25</v>
      </c>
      <c r="F439" t="s">
        <v>11</v>
      </c>
    </row>
    <row r="440" spans="1:6">
      <c r="A440" t="s">
        <v>31</v>
      </c>
      <c r="B440" t="s">
        <v>18</v>
      </c>
      <c r="C440" t="s">
        <v>14</v>
      </c>
      <c r="D440">
        <v>49.43</v>
      </c>
      <c r="E440">
        <v>56.51</v>
      </c>
      <c r="F440" t="s">
        <v>11</v>
      </c>
    </row>
    <row r="441" spans="1:6">
      <c r="A441" t="s">
        <v>31</v>
      </c>
      <c r="B441" t="s">
        <v>18</v>
      </c>
      <c r="C441" t="s">
        <v>15</v>
      </c>
      <c r="D441">
        <v>64.62</v>
      </c>
      <c r="E441">
        <v>57.92</v>
      </c>
      <c r="F441" t="s">
        <v>9</v>
      </c>
    </row>
    <row r="442" spans="1:6">
      <c r="A442" t="s">
        <v>31</v>
      </c>
      <c r="B442" t="s">
        <v>18</v>
      </c>
      <c r="C442" t="s">
        <v>16</v>
      </c>
      <c r="D442">
        <v>66.63</v>
      </c>
      <c r="E442">
        <v>55.93</v>
      </c>
      <c r="F442" t="s">
        <v>9</v>
      </c>
    </row>
    <row r="443" spans="1:6">
      <c r="A443" t="s">
        <v>31</v>
      </c>
      <c r="B443" t="s">
        <v>19</v>
      </c>
      <c r="C443" t="s">
        <v>8</v>
      </c>
      <c r="D443">
        <v>62.66</v>
      </c>
      <c r="E443">
        <v>53.22</v>
      </c>
      <c r="F443" t="s">
        <v>9</v>
      </c>
    </row>
    <row r="444" spans="1:6">
      <c r="A444" t="s">
        <v>31</v>
      </c>
      <c r="B444" t="s">
        <v>19</v>
      </c>
      <c r="C444" t="s">
        <v>10</v>
      </c>
      <c r="D444">
        <v>5.21</v>
      </c>
      <c r="E444">
        <v>5.51</v>
      </c>
      <c r="F444" t="s">
        <v>11</v>
      </c>
    </row>
    <row r="445" spans="1:6">
      <c r="A445" t="s">
        <v>31</v>
      </c>
      <c r="B445" t="s">
        <v>19</v>
      </c>
      <c r="C445" t="s">
        <v>12</v>
      </c>
      <c r="D445">
        <v>36.22</v>
      </c>
      <c r="E445">
        <v>36.24</v>
      </c>
      <c r="F445" t="s">
        <v>11</v>
      </c>
    </row>
    <row r="446" spans="1:6">
      <c r="A446" t="s">
        <v>31</v>
      </c>
      <c r="B446" t="s">
        <v>19</v>
      </c>
      <c r="C446" t="s">
        <v>13</v>
      </c>
      <c r="D446">
        <v>11.77</v>
      </c>
      <c r="E446">
        <v>10.9</v>
      </c>
      <c r="F446" t="s">
        <v>9</v>
      </c>
    </row>
    <row r="447" spans="1:6">
      <c r="A447" t="s">
        <v>31</v>
      </c>
      <c r="B447" t="s">
        <v>19</v>
      </c>
      <c r="C447" t="s">
        <v>14</v>
      </c>
      <c r="D447">
        <v>49.92</v>
      </c>
      <c r="E447">
        <v>59.06</v>
      </c>
      <c r="F447" t="s">
        <v>11</v>
      </c>
    </row>
    <row r="448" spans="1:6">
      <c r="A448" t="s">
        <v>31</v>
      </c>
      <c r="B448" t="s">
        <v>19</v>
      </c>
      <c r="C448" t="s">
        <v>15</v>
      </c>
      <c r="D448">
        <v>22.62</v>
      </c>
      <c r="E448">
        <v>20.65</v>
      </c>
      <c r="F448" t="s">
        <v>9</v>
      </c>
    </row>
    <row r="449" spans="1:6">
      <c r="A449" t="s">
        <v>31</v>
      </c>
      <c r="B449" t="s">
        <v>19</v>
      </c>
      <c r="C449" t="s">
        <v>16</v>
      </c>
      <c r="D449">
        <v>67.069999999999993</v>
      </c>
      <c r="E449">
        <v>59.4</v>
      </c>
      <c r="F449" t="s">
        <v>9</v>
      </c>
    </row>
    <row r="450" spans="1:6">
      <c r="A450" t="s">
        <v>31</v>
      </c>
      <c r="B450" t="s">
        <v>20</v>
      </c>
      <c r="C450" t="s">
        <v>8</v>
      </c>
      <c r="D450">
        <v>40.93</v>
      </c>
      <c r="E450">
        <v>34.880000000000003</v>
      </c>
      <c r="F450" t="s">
        <v>9</v>
      </c>
    </row>
    <row r="451" spans="1:6">
      <c r="A451" t="s">
        <v>31</v>
      </c>
      <c r="B451" t="s">
        <v>20</v>
      </c>
      <c r="C451" t="s">
        <v>10</v>
      </c>
      <c r="D451">
        <v>23.95</v>
      </c>
      <c r="E451">
        <v>32.17</v>
      </c>
      <c r="F451" t="s">
        <v>11</v>
      </c>
    </row>
    <row r="452" spans="1:6">
      <c r="A452" t="s">
        <v>31</v>
      </c>
      <c r="B452" t="s">
        <v>20</v>
      </c>
      <c r="C452" t="s">
        <v>12</v>
      </c>
      <c r="D452">
        <v>73.290000000000006</v>
      </c>
      <c r="E452">
        <v>56.62</v>
      </c>
      <c r="F452" t="s">
        <v>9</v>
      </c>
    </row>
    <row r="453" spans="1:6">
      <c r="A453" t="s">
        <v>31</v>
      </c>
      <c r="B453" t="s">
        <v>20</v>
      </c>
      <c r="C453" t="s">
        <v>13</v>
      </c>
      <c r="D453">
        <v>51.16</v>
      </c>
      <c r="E453">
        <v>51.81</v>
      </c>
      <c r="F453" t="s">
        <v>11</v>
      </c>
    </row>
    <row r="454" spans="1:6">
      <c r="A454" t="s">
        <v>31</v>
      </c>
      <c r="B454" t="s">
        <v>20</v>
      </c>
      <c r="C454" t="s">
        <v>14</v>
      </c>
      <c r="D454">
        <v>28.91</v>
      </c>
      <c r="E454">
        <v>30.74</v>
      </c>
      <c r="F454" t="s">
        <v>11</v>
      </c>
    </row>
    <row r="455" spans="1:6">
      <c r="A455" t="s">
        <v>31</v>
      </c>
      <c r="B455" t="s">
        <v>20</v>
      </c>
      <c r="C455" t="s">
        <v>15</v>
      </c>
      <c r="D455">
        <v>15.66</v>
      </c>
      <c r="E455">
        <v>15.6</v>
      </c>
      <c r="F455" t="s">
        <v>9</v>
      </c>
    </row>
    <row r="456" spans="1:6">
      <c r="A456" t="s">
        <v>31</v>
      </c>
      <c r="B456" t="s">
        <v>20</v>
      </c>
      <c r="C456" t="s">
        <v>16</v>
      </c>
      <c r="D456">
        <v>14.03</v>
      </c>
      <c r="E456">
        <v>11.2</v>
      </c>
      <c r="F456" t="s">
        <v>9</v>
      </c>
    </row>
    <row r="457" spans="1:6">
      <c r="A457" t="s">
        <v>31</v>
      </c>
      <c r="B457" t="s">
        <v>21</v>
      </c>
      <c r="C457" t="s">
        <v>8</v>
      </c>
      <c r="D457">
        <v>15.54</v>
      </c>
      <c r="E457">
        <v>13.94</v>
      </c>
      <c r="F457" t="s">
        <v>9</v>
      </c>
    </row>
    <row r="458" spans="1:6">
      <c r="A458" t="s">
        <v>31</v>
      </c>
      <c r="B458" t="s">
        <v>21</v>
      </c>
      <c r="C458" t="s">
        <v>10</v>
      </c>
      <c r="D458">
        <v>31.03</v>
      </c>
      <c r="E458">
        <v>30.24</v>
      </c>
      <c r="F458" t="s">
        <v>9</v>
      </c>
    </row>
    <row r="459" spans="1:6">
      <c r="A459" t="s">
        <v>31</v>
      </c>
      <c r="B459" t="s">
        <v>21</v>
      </c>
      <c r="C459" t="s">
        <v>12</v>
      </c>
      <c r="D459">
        <v>22.49</v>
      </c>
      <c r="E459">
        <v>19.149999999999999</v>
      </c>
      <c r="F459" t="s">
        <v>9</v>
      </c>
    </row>
    <row r="460" spans="1:6">
      <c r="A460" t="s">
        <v>31</v>
      </c>
      <c r="B460" t="s">
        <v>21</v>
      </c>
      <c r="C460" t="s">
        <v>13</v>
      </c>
      <c r="D460">
        <v>13.96</v>
      </c>
      <c r="E460">
        <v>15.24</v>
      </c>
      <c r="F460" t="s">
        <v>11</v>
      </c>
    </row>
    <row r="461" spans="1:6">
      <c r="A461" t="s">
        <v>31</v>
      </c>
      <c r="B461" t="s">
        <v>21</v>
      </c>
      <c r="C461" t="s">
        <v>14</v>
      </c>
      <c r="D461">
        <v>56.31</v>
      </c>
      <c r="E461">
        <v>45.51</v>
      </c>
      <c r="F461" t="s">
        <v>9</v>
      </c>
    </row>
    <row r="462" spans="1:6">
      <c r="A462" t="s">
        <v>31</v>
      </c>
      <c r="B462" t="s">
        <v>21</v>
      </c>
      <c r="C462" t="s">
        <v>15</v>
      </c>
      <c r="D462">
        <v>49.56</v>
      </c>
      <c r="E462">
        <v>48.49</v>
      </c>
      <c r="F462" t="s">
        <v>9</v>
      </c>
    </row>
    <row r="463" spans="1:6">
      <c r="A463" t="s">
        <v>31</v>
      </c>
      <c r="B463" t="s">
        <v>21</v>
      </c>
      <c r="C463" t="s">
        <v>16</v>
      </c>
      <c r="D463">
        <v>39.229999999999997</v>
      </c>
      <c r="E463">
        <v>36.229999999999997</v>
      </c>
      <c r="F463" t="s">
        <v>9</v>
      </c>
    </row>
    <row r="464" spans="1:6">
      <c r="A464" t="s">
        <v>32</v>
      </c>
      <c r="B464" t="s">
        <v>7</v>
      </c>
      <c r="C464" t="s">
        <v>8</v>
      </c>
      <c r="D464">
        <v>11.99</v>
      </c>
      <c r="E464">
        <v>15.97</v>
      </c>
      <c r="F464" t="s">
        <v>11</v>
      </c>
    </row>
    <row r="465" spans="1:6">
      <c r="A465" t="s">
        <v>32</v>
      </c>
      <c r="B465" t="s">
        <v>7</v>
      </c>
      <c r="C465" t="s">
        <v>10</v>
      </c>
      <c r="D465">
        <v>67.38</v>
      </c>
      <c r="E465">
        <v>58.02</v>
      </c>
      <c r="F465" t="s">
        <v>9</v>
      </c>
    </row>
    <row r="466" spans="1:6">
      <c r="A466" t="s">
        <v>32</v>
      </c>
      <c r="B466" t="s">
        <v>7</v>
      </c>
      <c r="C466" t="s">
        <v>12</v>
      </c>
      <c r="D466">
        <v>24.8</v>
      </c>
      <c r="E466">
        <v>22.66</v>
      </c>
      <c r="F466" t="s">
        <v>9</v>
      </c>
    </row>
    <row r="467" spans="1:6">
      <c r="A467" t="s">
        <v>32</v>
      </c>
      <c r="B467" t="s">
        <v>7</v>
      </c>
      <c r="C467" t="s">
        <v>13</v>
      </c>
      <c r="D467">
        <v>36.99</v>
      </c>
      <c r="E467">
        <v>40.520000000000003</v>
      </c>
      <c r="F467" t="s">
        <v>11</v>
      </c>
    </row>
    <row r="468" spans="1:6">
      <c r="A468" t="s">
        <v>32</v>
      </c>
      <c r="B468" t="s">
        <v>7</v>
      </c>
      <c r="C468" t="s">
        <v>14</v>
      </c>
      <c r="D468">
        <v>59.79</v>
      </c>
      <c r="E468">
        <v>54.94</v>
      </c>
      <c r="F468" t="s">
        <v>9</v>
      </c>
    </row>
    <row r="469" spans="1:6">
      <c r="A469" t="s">
        <v>32</v>
      </c>
      <c r="B469" t="s">
        <v>7</v>
      </c>
      <c r="C469" t="s">
        <v>15</v>
      </c>
      <c r="D469">
        <v>7.21</v>
      </c>
      <c r="E469">
        <v>9.92</v>
      </c>
      <c r="F469" t="s">
        <v>11</v>
      </c>
    </row>
    <row r="470" spans="1:6">
      <c r="A470" t="s">
        <v>32</v>
      </c>
      <c r="B470" t="s">
        <v>7</v>
      </c>
      <c r="C470" t="s">
        <v>16</v>
      </c>
      <c r="D470">
        <v>47.19</v>
      </c>
      <c r="E470">
        <v>36.58</v>
      </c>
      <c r="F470" t="s">
        <v>9</v>
      </c>
    </row>
    <row r="471" spans="1:6">
      <c r="A471" t="s">
        <v>32</v>
      </c>
      <c r="B471" t="s">
        <v>17</v>
      </c>
      <c r="C471" t="s">
        <v>8</v>
      </c>
      <c r="D471">
        <v>38.1</v>
      </c>
      <c r="E471">
        <v>34.43</v>
      </c>
      <c r="F471" t="s">
        <v>9</v>
      </c>
    </row>
    <row r="472" spans="1:6">
      <c r="A472" t="s">
        <v>32</v>
      </c>
      <c r="B472" t="s">
        <v>17</v>
      </c>
      <c r="C472" t="s">
        <v>10</v>
      </c>
      <c r="D472">
        <v>42.07</v>
      </c>
      <c r="E472">
        <v>44.77</v>
      </c>
      <c r="F472" t="s">
        <v>11</v>
      </c>
    </row>
    <row r="473" spans="1:6">
      <c r="A473" t="s">
        <v>32</v>
      </c>
      <c r="B473" t="s">
        <v>17</v>
      </c>
      <c r="C473" t="s">
        <v>12</v>
      </c>
      <c r="D473">
        <v>65.09</v>
      </c>
      <c r="E473">
        <v>56.52</v>
      </c>
      <c r="F473" t="s">
        <v>9</v>
      </c>
    </row>
    <row r="474" spans="1:6">
      <c r="A474" t="s">
        <v>32</v>
      </c>
      <c r="B474" t="s">
        <v>17</v>
      </c>
      <c r="C474" t="s">
        <v>13</v>
      </c>
      <c r="D474">
        <v>70.66</v>
      </c>
      <c r="E474">
        <v>55.23</v>
      </c>
      <c r="F474" t="s">
        <v>9</v>
      </c>
    </row>
    <row r="475" spans="1:6">
      <c r="A475" t="s">
        <v>32</v>
      </c>
      <c r="B475" t="s">
        <v>17</v>
      </c>
      <c r="C475" t="s">
        <v>14</v>
      </c>
      <c r="D475">
        <v>14.02</v>
      </c>
      <c r="E475">
        <v>14.63</v>
      </c>
      <c r="F475" t="s">
        <v>11</v>
      </c>
    </row>
    <row r="476" spans="1:6">
      <c r="A476" t="s">
        <v>32</v>
      </c>
      <c r="B476" t="s">
        <v>17</v>
      </c>
      <c r="C476" t="s">
        <v>15</v>
      </c>
      <c r="D476">
        <v>37.799999999999997</v>
      </c>
      <c r="E476">
        <v>53.52</v>
      </c>
      <c r="F476" t="s">
        <v>11</v>
      </c>
    </row>
    <row r="477" spans="1:6">
      <c r="A477" t="s">
        <v>32</v>
      </c>
      <c r="B477" t="s">
        <v>17</v>
      </c>
      <c r="C477" t="s">
        <v>16</v>
      </c>
      <c r="D477">
        <v>12.55</v>
      </c>
      <c r="E477">
        <v>14.67</v>
      </c>
      <c r="F477" t="s">
        <v>11</v>
      </c>
    </row>
    <row r="478" spans="1:6">
      <c r="A478" t="s">
        <v>32</v>
      </c>
      <c r="B478" t="s">
        <v>18</v>
      </c>
      <c r="C478" t="s">
        <v>8</v>
      </c>
      <c r="D478">
        <v>55.94</v>
      </c>
      <c r="E478">
        <v>55.58</v>
      </c>
      <c r="F478" t="s">
        <v>9</v>
      </c>
    </row>
    <row r="479" spans="1:6">
      <c r="A479" t="s">
        <v>32</v>
      </c>
      <c r="B479" t="s">
        <v>18</v>
      </c>
      <c r="C479" t="s">
        <v>10</v>
      </c>
      <c r="D479">
        <v>60.51</v>
      </c>
      <c r="E479">
        <v>59.84</v>
      </c>
      <c r="F479" t="s">
        <v>9</v>
      </c>
    </row>
    <row r="480" spans="1:6">
      <c r="A480" t="s">
        <v>32</v>
      </c>
      <c r="B480" t="s">
        <v>18</v>
      </c>
      <c r="C480" t="s">
        <v>12</v>
      </c>
      <c r="D480">
        <v>28.13</v>
      </c>
      <c r="E480">
        <v>26.83</v>
      </c>
      <c r="F480" t="s">
        <v>9</v>
      </c>
    </row>
    <row r="481" spans="1:6">
      <c r="A481" t="s">
        <v>32</v>
      </c>
      <c r="B481" t="s">
        <v>18</v>
      </c>
      <c r="C481" t="s">
        <v>13</v>
      </c>
      <c r="D481">
        <v>33.71</v>
      </c>
      <c r="E481">
        <v>32.25</v>
      </c>
      <c r="F481" t="s">
        <v>9</v>
      </c>
    </row>
    <row r="482" spans="1:6">
      <c r="A482" t="s">
        <v>32</v>
      </c>
      <c r="B482" t="s">
        <v>18</v>
      </c>
      <c r="C482" t="s">
        <v>14</v>
      </c>
      <c r="D482">
        <v>54.67</v>
      </c>
      <c r="E482">
        <v>56.51</v>
      </c>
      <c r="F482" t="s">
        <v>11</v>
      </c>
    </row>
    <row r="483" spans="1:6">
      <c r="A483" t="s">
        <v>32</v>
      </c>
      <c r="B483" t="s">
        <v>18</v>
      </c>
      <c r="C483" t="s">
        <v>15</v>
      </c>
      <c r="D483">
        <v>54.14</v>
      </c>
      <c r="E483">
        <v>57.92</v>
      </c>
      <c r="F483" t="s">
        <v>11</v>
      </c>
    </row>
    <row r="484" spans="1:6">
      <c r="A484" t="s">
        <v>32</v>
      </c>
      <c r="B484" t="s">
        <v>18</v>
      </c>
      <c r="C484" t="s">
        <v>16</v>
      </c>
      <c r="D484">
        <v>65.069999999999993</v>
      </c>
      <c r="E484">
        <v>55.93</v>
      </c>
      <c r="F484" t="s">
        <v>9</v>
      </c>
    </row>
    <row r="485" spans="1:6">
      <c r="A485" t="s">
        <v>32</v>
      </c>
      <c r="B485" t="s">
        <v>19</v>
      </c>
      <c r="C485" t="s">
        <v>8</v>
      </c>
      <c r="D485">
        <v>56.05</v>
      </c>
      <c r="E485">
        <v>53.22</v>
      </c>
      <c r="F485" t="s">
        <v>9</v>
      </c>
    </row>
    <row r="486" spans="1:6">
      <c r="A486" t="s">
        <v>32</v>
      </c>
      <c r="B486" t="s">
        <v>19</v>
      </c>
      <c r="C486" t="s">
        <v>10</v>
      </c>
      <c r="D486">
        <v>5.51</v>
      </c>
      <c r="E486">
        <v>5.51</v>
      </c>
      <c r="F486" t="s">
        <v>11</v>
      </c>
    </row>
    <row r="487" spans="1:6">
      <c r="A487" t="s">
        <v>32</v>
      </c>
      <c r="B487" t="s">
        <v>19</v>
      </c>
      <c r="C487" t="s">
        <v>12</v>
      </c>
      <c r="D487">
        <v>32.869999999999997</v>
      </c>
      <c r="E487">
        <v>36.24</v>
      </c>
      <c r="F487" t="s">
        <v>11</v>
      </c>
    </row>
    <row r="488" spans="1:6">
      <c r="A488" t="s">
        <v>32</v>
      </c>
      <c r="B488" t="s">
        <v>19</v>
      </c>
      <c r="C488" t="s">
        <v>13</v>
      </c>
      <c r="D488">
        <v>7.79</v>
      </c>
      <c r="E488">
        <v>10.9</v>
      </c>
      <c r="F488" t="s">
        <v>11</v>
      </c>
    </row>
    <row r="489" spans="1:6">
      <c r="A489" t="s">
        <v>32</v>
      </c>
      <c r="B489" t="s">
        <v>19</v>
      </c>
      <c r="C489" t="s">
        <v>14</v>
      </c>
      <c r="D489">
        <v>45.05</v>
      </c>
      <c r="E489">
        <v>59.06</v>
      </c>
      <c r="F489" t="s">
        <v>11</v>
      </c>
    </row>
    <row r="490" spans="1:6">
      <c r="A490" t="s">
        <v>32</v>
      </c>
      <c r="B490" t="s">
        <v>19</v>
      </c>
      <c r="C490" t="s">
        <v>15</v>
      </c>
      <c r="D490">
        <v>19.61</v>
      </c>
      <c r="E490">
        <v>20.65</v>
      </c>
      <c r="F490" t="s">
        <v>11</v>
      </c>
    </row>
    <row r="491" spans="1:6">
      <c r="A491" t="s">
        <v>32</v>
      </c>
      <c r="B491" t="s">
        <v>19</v>
      </c>
      <c r="C491" t="s">
        <v>16</v>
      </c>
      <c r="D491">
        <v>75.86</v>
      </c>
      <c r="E491">
        <v>59.4</v>
      </c>
      <c r="F491" t="s">
        <v>9</v>
      </c>
    </row>
    <row r="492" spans="1:6">
      <c r="A492" t="s">
        <v>32</v>
      </c>
      <c r="B492" t="s">
        <v>20</v>
      </c>
      <c r="C492" t="s">
        <v>8</v>
      </c>
      <c r="D492">
        <v>26.85</v>
      </c>
      <c r="E492">
        <v>34.880000000000003</v>
      </c>
      <c r="F492" t="s">
        <v>11</v>
      </c>
    </row>
    <row r="493" spans="1:6">
      <c r="A493" t="s">
        <v>32</v>
      </c>
      <c r="B493" t="s">
        <v>20</v>
      </c>
      <c r="C493" t="s">
        <v>10</v>
      </c>
      <c r="D493">
        <v>40.68</v>
      </c>
      <c r="E493">
        <v>32.17</v>
      </c>
      <c r="F493" t="s">
        <v>9</v>
      </c>
    </row>
    <row r="494" spans="1:6">
      <c r="A494" t="s">
        <v>32</v>
      </c>
      <c r="B494" t="s">
        <v>20</v>
      </c>
      <c r="C494" t="s">
        <v>12</v>
      </c>
      <c r="D494">
        <v>44.45</v>
      </c>
      <c r="E494">
        <v>56.62</v>
      </c>
      <c r="F494" t="s">
        <v>11</v>
      </c>
    </row>
    <row r="495" spans="1:6">
      <c r="A495" t="s">
        <v>32</v>
      </c>
      <c r="B495" t="s">
        <v>20</v>
      </c>
      <c r="C495" t="s">
        <v>13</v>
      </c>
      <c r="D495">
        <v>45.96</v>
      </c>
      <c r="E495">
        <v>51.81</v>
      </c>
      <c r="F495" t="s">
        <v>11</v>
      </c>
    </row>
    <row r="496" spans="1:6">
      <c r="A496" t="s">
        <v>32</v>
      </c>
      <c r="B496" t="s">
        <v>20</v>
      </c>
      <c r="C496" t="s">
        <v>14</v>
      </c>
      <c r="D496">
        <v>29.92</v>
      </c>
      <c r="E496">
        <v>30.74</v>
      </c>
      <c r="F496" t="s">
        <v>11</v>
      </c>
    </row>
    <row r="497" spans="1:6">
      <c r="A497" t="s">
        <v>32</v>
      </c>
      <c r="B497" t="s">
        <v>20</v>
      </c>
      <c r="C497" t="s">
        <v>15</v>
      </c>
      <c r="D497">
        <v>12.86</v>
      </c>
      <c r="E497">
        <v>15.6</v>
      </c>
      <c r="F497" t="s">
        <v>11</v>
      </c>
    </row>
    <row r="498" spans="1:6">
      <c r="A498" t="s">
        <v>32</v>
      </c>
      <c r="B498" t="s">
        <v>20</v>
      </c>
      <c r="C498" t="s">
        <v>16</v>
      </c>
      <c r="D498">
        <v>11.09</v>
      </c>
      <c r="E498">
        <v>11.2</v>
      </c>
      <c r="F498" t="s">
        <v>11</v>
      </c>
    </row>
    <row r="499" spans="1:6">
      <c r="A499" t="s">
        <v>32</v>
      </c>
      <c r="B499" t="s">
        <v>21</v>
      </c>
      <c r="C499" t="s">
        <v>8</v>
      </c>
      <c r="D499">
        <v>13.74</v>
      </c>
      <c r="E499">
        <v>13.94</v>
      </c>
      <c r="F499" t="s">
        <v>11</v>
      </c>
    </row>
    <row r="500" spans="1:6">
      <c r="A500" t="s">
        <v>32</v>
      </c>
      <c r="B500" t="s">
        <v>21</v>
      </c>
      <c r="C500" t="s">
        <v>10</v>
      </c>
      <c r="D500">
        <v>29.12</v>
      </c>
      <c r="E500">
        <v>30.24</v>
      </c>
      <c r="F500" t="s">
        <v>11</v>
      </c>
    </row>
    <row r="501" spans="1:6">
      <c r="A501" t="s">
        <v>32</v>
      </c>
      <c r="B501" t="s">
        <v>21</v>
      </c>
      <c r="C501" t="s">
        <v>12</v>
      </c>
      <c r="D501">
        <v>21.41</v>
      </c>
      <c r="E501">
        <v>19.149999999999999</v>
      </c>
      <c r="F501" t="s">
        <v>9</v>
      </c>
    </row>
    <row r="502" spans="1:6">
      <c r="A502" t="s">
        <v>32</v>
      </c>
      <c r="B502" t="s">
        <v>21</v>
      </c>
      <c r="C502" t="s">
        <v>13</v>
      </c>
      <c r="D502">
        <v>13.58</v>
      </c>
      <c r="E502">
        <v>15.24</v>
      </c>
      <c r="F502" t="s">
        <v>11</v>
      </c>
    </row>
    <row r="503" spans="1:6">
      <c r="A503" t="s">
        <v>32</v>
      </c>
      <c r="B503" t="s">
        <v>21</v>
      </c>
      <c r="C503" t="s">
        <v>14</v>
      </c>
      <c r="D503">
        <v>40.06</v>
      </c>
      <c r="E503">
        <v>45.51</v>
      </c>
      <c r="F503" t="s">
        <v>11</v>
      </c>
    </row>
    <row r="504" spans="1:6">
      <c r="A504" t="s">
        <v>32</v>
      </c>
      <c r="B504" t="s">
        <v>21</v>
      </c>
      <c r="C504" t="s">
        <v>15</v>
      </c>
      <c r="D504">
        <v>57.51</v>
      </c>
      <c r="E504">
        <v>48.49</v>
      </c>
      <c r="F504" t="s">
        <v>9</v>
      </c>
    </row>
    <row r="505" spans="1:6">
      <c r="A505" t="s">
        <v>32</v>
      </c>
      <c r="B505" t="s">
        <v>21</v>
      </c>
      <c r="C505" t="s">
        <v>16</v>
      </c>
      <c r="D505">
        <v>27.86</v>
      </c>
      <c r="E505">
        <v>36.229999999999997</v>
      </c>
      <c r="F505" t="s">
        <v>11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1"/>
  <sheetViews>
    <sheetView topLeftCell="A109" workbookViewId="0">
      <selection activeCell="I19" sqref="I19"/>
    </sheetView>
  </sheetViews>
  <sheetFormatPr baseColWidth="10" defaultColWidth="8.83203125" defaultRowHeight="14"/>
  <cols>
    <col min="1" max="1" width="13" bestFit="1" customWidth="1"/>
    <col min="2" max="2" width="10" customWidth="1"/>
    <col min="3" max="3" width="12" customWidth="1"/>
    <col min="4" max="4" width="15" bestFit="1" customWidth="1"/>
    <col min="5" max="5" width="9.33203125" bestFit="1" customWidth="1"/>
  </cols>
  <sheetData>
    <row r="1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 t="s">
        <v>41</v>
      </c>
      <c r="B2" t="s">
        <v>14</v>
      </c>
      <c r="C2" s="3">
        <v>45933</v>
      </c>
      <c r="D2">
        <v>20.49</v>
      </c>
      <c r="E2" t="s">
        <v>42</v>
      </c>
    </row>
    <row r="3" spans="1:5">
      <c r="A3" t="s">
        <v>43</v>
      </c>
      <c r="B3" t="s">
        <v>10</v>
      </c>
      <c r="C3" s="3">
        <v>45781</v>
      </c>
      <c r="D3">
        <v>6.31</v>
      </c>
      <c r="E3" t="s">
        <v>44</v>
      </c>
    </row>
    <row r="4" spans="1:5">
      <c r="A4" t="s">
        <v>45</v>
      </c>
      <c r="B4" t="s">
        <v>14</v>
      </c>
      <c r="C4" s="3">
        <v>45852</v>
      </c>
      <c r="D4">
        <v>18.3</v>
      </c>
      <c r="E4" t="s">
        <v>44</v>
      </c>
    </row>
    <row r="5" spans="1:5">
      <c r="A5" t="s">
        <v>46</v>
      </c>
      <c r="B5" t="s">
        <v>13</v>
      </c>
      <c r="C5" s="3">
        <v>45732</v>
      </c>
      <c r="D5">
        <v>19.43</v>
      </c>
      <c r="E5" t="s">
        <v>44</v>
      </c>
    </row>
    <row r="6" spans="1:5">
      <c r="A6" t="s">
        <v>47</v>
      </c>
      <c r="B6" t="s">
        <v>10</v>
      </c>
      <c r="C6" s="3">
        <v>45906</v>
      </c>
      <c r="D6">
        <v>15.2</v>
      </c>
      <c r="E6" t="s">
        <v>48</v>
      </c>
    </row>
    <row r="7" spans="1:5">
      <c r="A7" t="s">
        <v>45</v>
      </c>
      <c r="B7" t="s">
        <v>12</v>
      </c>
      <c r="C7" s="3">
        <v>45889</v>
      </c>
      <c r="D7">
        <v>2.5499999999999998</v>
      </c>
      <c r="E7" t="s">
        <v>42</v>
      </c>
    </row>
    <row r="8" spans="1:5">
      <c r="A8" t="s">
        <v>43</v>
      </c>
      <c r="B8" t="s">
        <v>13</v>
      </c>
      <c r="C8" s="3">
        <v>45723</v>
      </c>
      <c r="D8">
        <v>24.64</v>
      </c>
      <c r="E8" t="s">
        <v>44</v>
      </c>
    </row>
    <row r="9" spans="1:5">
      <c r="A9" t="s">
        <v>49</v>
      </c>
      <c r="B9" t="s">
        <v>15</v>
      </c>
      <c r="C9" s="3">
        <v>45883</v>
      </c>
      <c r="D9">
        <v>20.86</v>
      </c>
      <c r="E9" t="s">
        <v>42</v>
      </c>
    </row>
    <row r="10" spans="1:5">
      <c r="A10" t="s">
        <v>47</v>
      </c>
      <c r="B10" t="s">
        <v>16</v>
      </c>
      <c r="C10" s="3">
        <v>45885</v>
      </c>
      <c r="D10">
        <v>5.85</v>
      </c>
      <c r="E10" t="s">
        <v>44</v>
      </c>
    </row>
    <row r="11" spans="1:5">
      <c r="A11" t="s">
        <v>43</v>
      </c>
      <c r="B11" t="s">
        <v>16</v>
      </c>
      <c r="C11" s="3">
        <v>45757</v>
      </c>
      <c r="D11">
        <v>1.95</v>
      </c>
      <c r="E11" t="s">
        <v>48</v>
      </c>
    </row>
    <row r="12" spans="1:5">
      <c r="A12" t="s">
        <v>49</v>
      </c>
      <c r="B12" t="s">
        <v>12</v>
      </c>
      <c r="C12" s="3">
        <v>45741</v>
      </c>
      <c r="D12">
        <v>14.26</v>
      </c>
      <c r="E12" t="s">
        <v>44</v>
      </c>
    </row>
    <row r="13" spans="1:5">
      <c r="A13" t="s">
        <v>46</v>
      </c>
      <c r="B13" t="s">
        <v>14</v>
      </c>
      <c r="C13" s="3">
        <v>45904</v>
      </c>
      <c r="D13">
        <v>17.61</v>
      </c>
      <c r="E13" t="s">
        <v>42</v>
      </c>
    </row>
    <row r="14" spans="1:5">
      <c r="A14" t="s">
        <v>49</v>
      </c>
      <c r="B14" t="s">
        <v>16</v>
      </c>
      <c r="C14" s="3">
        <v>45826</v>
      </c>
      <c r="D14">
        <v>24.86</v>
      </c>
      <c r="E14" t="s">
        <v>48</v>
      </c>
    </row>
    <row r="15" spans="1:5">
      <c r="A15" t="s">
        <v>47</v>
      </c>
      <c r="B15" t="s">
        <v>13</v>
      </c>
      <c r="C15" s="3">
        <v>45907</v>
      </c>
      <c r="D15">
        <v>29.7</v>
      </c>
      <c r="E15" t="s">
        <v>48</v>
      </c>
    </row>
    <row r="16" spans="1:5">
      <c r="A16" t="s">
        <v>47</v>
      </c>
      <c r="B16" t="s">
        <v>16</v>
      </c>
      <c r="C16" s="3">
        <v>45986</v>
      </c>
      <c r="D16">
        <v>8.18</v>
      </c>
      <c r="E16" t="s">
        <v>48</v>
      </c>
    </row>
    <row r="17" spans="1:5">
      <c r="A17" t="s">
        <v>46</v>
      </c>
      <c r="B17" t="s">
        <v>12</v>
      </c>
      <c r="C17" s="3">
        <v>45836</v>
      </c>
      <c r="D17">
        <v>24.69</v>
      </c>
      <c r="E17" t="s">
        <v>42</v>
      </c>
    </row>
    <row r="18" spans="1:5">
      <c r="A18" t="s">
        <v>43</v>
      </c>
      <c r="B18" t="s">
        <v>16</v>
      </c>
      <c r="C18" s="3">
        <v>45754</v>
      </c>
      <c r="D18">
        <v>24.51</v>
      </c>
      <c r="E18" t="s">
        <v>44</v>
      </c>
    </row>
    <row r="19" spans="1:5">
      <c r="A19" t="s">
        <v>47</v>
      </c>
      <c r="B19" t="s">
        <v>12</v>
      </c>
      <c r="C19" s="3">
        <v>46011</v>
      </c>
      <c r="D19">
        <v>19.350000000000001</v>
      </c>
      <c r="E19" t="s">
        <v>48</v>
      </c>
    </row>
    <row r="20" spans="1:5">
      <c r="A20" t="s">
        <v>49</v>
      </c>
      <c r="B20" t="s">
        <v>10</v>
      </c>
      <c r="C20" s="3">
        <v>45774</v>
      </c>
      <c r="D20">
        <v>7</v>
      </c>
      <c r="E20" t="s">
        <v>48</v>
      </c>
    </row>
    <row r="21" spans="1:5">
      <c r="A21" t="s">
        <v>49</v>
      </c>
      <c r="B21" t="s">
        <v>12</v>
      </c>
      <c r="C21" s="3">
        <v>45909</v>
      </c>
      <c r="D21">
        <v>18.309999999999999</v>
      </c>
      <c r="E21" t="s">
        <v>48</v>
      </c>
    </row>
    <row r="22" spans="1:5">
      <c r="A22" t="s">
        <v>41</v>
      </c>
      <c r="B22" t="s">
        <v>15</v>
      </c>
      <c r="C22" s="3">
        <v>45787</v>
      </c>
      <c r="D22">
        <v>17.61</v>
      </c>
      <c r="E22" t="s">
        <v>44</v>
      </c>
    </row>
    <row r="23" spans="1:5">
      <c r="A23" t="s">
        <v>47</v>
      </c>
      <c r="B23" t="s">
        <v>16</v>
      </c>
      <c r="C23" s="3">
        <v>45693</v>
      </c>
      <c r="D23">
        <v>28.92</v>
      </c>
      <c r="E23" t="s">
        <v>42</v>
      </c>
    </row>
    <row r="24" spans="1:5">
      <c r="A24" t="s">
        <v>43</v>
      </c>
      <c r="B24" t="s">
        <v>12</v>
      </c>
      <c r="C24" s="3">
        <v>45966</v>
      </c>
      <c r="D24">
        <v>21.34</v>
      </c>
      <c r="E24" t="s">
        <v>48</v>
      </c>
    </row>
    <row r="25" spans="1:5">
      <c r="A25" t="s">
        <v>45</v>
      </c>
      <c r="B25" t="s">
        <v>10</v>
      </c>
      <c r="C25" s="3">
        <v>46002</v>
      </c>
      <c r="D25">
        <v>25.03</v>
      </c>
      <c r="E25" t="s">
        <v>44</v>
      </c>
    </row>
    <row r="26" spans="1:5">
      <c r="A26" t="s">
        <v>46</v>
      </c>
      <c r="B26" t="s">
        <v>13</v>
      </c>
      <c r="C26" s="3">
        <v>45735</v>
      </c>
      <c r="D26">
        <v>19.34</v>
      </c>
      <c r="E26" t="s">
        <v>44</v>
      </c>
    </row>
    <row r="27" spans="1:5">
      <c r="A27" t="s">
        <v>46</v>
      </c>
      <c r="B27" t="s">
        <v>13</v>
      </c>
      <c r="C27" s="3">
        <v>45872</v>
      </c>
      <c r="D27">
        <v>19.38</v>
      </c>
      <c r="E27" t="s">
        <v>48</v>
      </c>
    </row>
    <row r="28" spans="1:5">
      <c r="A28" t="s">
        <v>46</v>
      </c>
      <c r="B28" t="s">
        <v>14</v>
      </c>
      <c r="C28" s="3">
        <v>46000</v>
      </c>
      <c r="D28">
        <v>21.15</v>
      </c>
      <c r="E28" t="s">
        <v>42</v>
      </c>
    </row>
    <row r="29" spans="1:5">
      <c r="A29" t="s">
        <v>46</v>
      </c>
      <c r="B29" t="s">
        <v>13</v>
      </c>
      <c r="C29" s="3">
        <v>45827</v>
      </c>
      <c r="D29">
        <v>1.07</v>
      </c>
      <c r="E29" t="s">
        <v>44</v>
      </c>
    </row>
    <row r="30" spans="1:5">
      <c r="A30" t="s">
        <v>43</v>
      </c>
      <c r="B30" t="s">
        <v>15</v>
      </c>
      <c r="C30" s="3">
        <v>45890</v>
      </c>
      <c r="D30">
        <v>20.260000000000002</v>
      </c>
      <c r="E30" t="s">
        <v>42</v>
      </c>
    </row>
    <row r="31" spans="1:5">
      <c r="A31" t="s">
        <v>43</v>
      </c>
      <c r="B31" t="s">
        <v>16</v>
      </c>
      <c r="C31" s="3">
        <v>45913</v>
      </c>
      <c r="D31">
        <v>7.32</v>
      </c>
      <c r="E31" t="s">
        <v>42</v>
      </c>
    </row>
    <row r="32" spans="1:5">
      <c r="A32" t="s">
        <v>45</v>
      </c>
      <c r="B32" t="s">
        <v>13</v>
      </c>
      <c r="C32" s="3">
        <v>45788</v>
      </c>
      <c r="D32">
        <v>25.02</v>
      </c>
      <c r="E32" t="s">
        <v>42</v>
      </c>
    </row>
    <row r="33" spans="1:5">
      <c r="A33" t="s">
        <v>49</v>
      </c>
      <c r="B33" t="s">
        <v>14</v>
      </c>
      <c r="C33" s="3">
        <v>45735</v>
      </c>
      <c r="D33">
        <v>25.72</v>
      </c>
      <c r="E33" t="s">
        <v>42</v>
      </c>
    </row>
    <row r="34" spans="1:5">
      <c r="A34" t="s">
        <v>47</v>
      </c>
      <c r="B34" t="s">
        <v>16</v>
      </c>
      <c r="C34" s="3">
        <v>45659</v>
      </c>
      <c r="D34">
        <v>3.89</v>
      </c>
      <c r="E34" t="s">
        <v>42</v>
      </c>
    </row>
    <row r="35" spans="1:5">
      <c r="A35" t="s">
        <v>43</v>
      </c>
      <c r="B35" t="s">
        <v>8</v>
      </c>
      <c r="C35" s="3">
        <v>45731</v>
      </c>
      <c r="D35">
        <v>14.24</v>
      </c>
      <c r="E35" t="s">
        <v>42</v>
      </c>
    </row>
    <row r="36" spans="1:5">
      <c r="A36" t="s">
        <v>45</v>
      </c>
      <c r="B36" t="s">
        <v>15</v>
      </c>
      <c r="C36" s="3">
        <v>45737</v>
      </c>
      <c r="D36">
        <v>9.75</v>
      </c>
      <c r="E36" t="s">
        <v>42</v>
      </c>
    </row>
    <row r="37" spans="1:5">
      <c r="A37" t="s">
        <v>43</v>
      </c>
      <c r="B37" t="s">
        <v>15</v>
      </c>
      <c r="C37" s="3">
        <v>45817</v>
      </c>
      <c r="D37">
        <v>3.39</v>
      </c>
      <c r="E37" t="s">
        <v>44</v>
      </c>
    </row>
    <row r="38" spans="1:5">
      <c r="A38" t="s">
        <v>47</v>
      </c>
      <c r="B38" t="s">
        <v>10</v>
      </c>
      <c r="C38" s="3">
        <v>45670</v>
      </c>
      <c r="D38">
        <v>19.14</v>
      </c>
      <c r="E38" t="s">
        <v>44</v>
      </c>
    </row>
    <row r="39" spans="1:5">
      <c r="A39" t="s">
        <v>47</v>
      </c>
      <c r="B39" t="s">
        <v>16</v>
      </c>
      <c r="C39" s="3">
        <v>45761</v>
      </c>
      <c r="D39">
        <v>20.010000000000002</v>
      </c>
      <c r="E39" t="s">
        <v>44</v>
      </c>
    </row>
    <row r="40" spans="1:5">
      <c r="A40" t="s">
        <v>43</v>
      </c>
      <c r="B40" t="s">
        <v>8</v>
      </c>
      <c r="C40" s="3">
        <v>45763</v>
      </c>
      <c r="D40">
        <v>3.26</v>
      </c>
      <c r="E40" t="s">
        <v>44</v>
      </c>
    </row>
    <row r="41" spans="1:5">
      <c r="A41" t="s">
        <v>45</v>
      </c>
      <c r="B41" t="s">
        <v>14</v>
      </c>
      <c r="C41" s="3">
        <v>45976</v>
      </c>
      <c r="D41">
        <v>1.27</v>
      </c>
      <c r="E41" t="s">
        <v>44</v>
      </c>
    </row>
    <row r="42" spans="1:5">
      <c r="A42" t="s">
        <v>41</v>
      </c>
      <c r="B42" t="s">
        <v>16</v>
      </c>
      <c r="C42" s="3">
        <v>45716</v>
      </c>
      <c r="D42">
        <v>13.25</v>
      </c>
      <c r="E42" t="s">
        <v>48</v>
      </c>
    </row>
    <row r="43" spans="1:5">
      <c r="A43" t="s">
        <v>46</v>
      </c>
      <c r="B43" t="s">
        <v>8</v>
      </c>
      <c r="C43" s="3">
        <v>45760</v>
      </c>
      <c r="D43">
        <v>3.59</v>
      </c>
      <c r="E43" t="s">
        <v>48</v>
      </c>
    </row>
    <row r="44" spans="1:5">
      <c r="A44" t="s">
        <v>43</v>
      </c>
      <c r="B44" t="s">
        <v>12</v>
      </c>
      <c r="C44" s="3">
        <v>45818</v>
      </c>
      <c r="D44">
        <v>4.9800000000000004</v>
      </c>
      <c r="E44" t="s">
        <v>48</v>
      </c>
    </row>
    <row r="45" spans="1:5">
      <c r="A45" t="s">
        <v>47</v>
      </c>
      <c r="B45" t="s">
        <v>15</v>
      </c>
      <c r="C45" s="3">
        <v>45719</v>
      </c>
      <c r="D45">
        <v>16.38</v>
      </c>
      <c r="E45" t="s">
        <v>48</v>
      </c>
    </row>
    <row r="46" spans="1:5">
      <c r="A46" t="s">
        <v>49</v>
      </c>
      <c r="B46" t="s">
        <v>15</v>
      </c>
      <c r="C46" s="3">
        <v>45731</v>
      </c>
      <c r="D46">
        <v>11.18</v>
      </c>
      <c r="E46" t="s">
        <v>48</v>
      </c>
    </row>
    <row r="47" spans="1:5">
      <c r="A47" t="s">
        <v>47</v>
      </c>
      <c r="B47" t="s">
        <v>15</v>
      </c>
      <c r="C47" s="3">
        <v>45730</v>
      </c>
      <c r="D47">
        <v>18.87</v>
      </c>
      <c r="E47" t="s">
        <v>42</v>
      </c>
    </row>
    <row r="48" spans="1:5">
      <c r="A48" t="s">
        <v>45</v>
      </c>
      <c r="B48" t="s">
        <v>8</v>
      </c>
      <c r="C48" s="3">
        <v>45693</v>
      </c>
      <c r="D48">
        <v>22.82</v>
      </c>
      <c r="E48" t="s">
        <v>44</v>
      </c>
    </row>
    <row r="49" spans="1:5">
      <c r="A49" t="s">
        <v>47</v>
      </c>
      <c r="B49" t="s">
        <v>13</v>
      </c>
      <c r="C49" s="3">
        <v>45822</v>
      </c>
      <c r="D49">
        <v>10.119999999999999</v>
      </c>
      <c r="E49" t="s">
        <v>48</v>
      </c>
    </row>
    <row r="50" spans="1:5">
      <c r="A50" t="s">
        <v>45</v>
      </c>
      <c r="B50" t="s">
        <v>12</v>
      </c>
      <c r="C50" s="3">
        <v>45964</v>
      </c>
      <c r="D50">
        <v>8.1999999999999993</v>
      </c>
      <c r="E50" t="s">
        <v>44</v>
      </c>
    </row>
    <row r="51" spans="1:5">
      <c r="A51" t="s">
        <v>49</v>
      </c>
      <c r="B51" t="s">
        <v>15</v>
      </c>
      <c r="C51" s="3">
        <v>45940</v>
      </c>
      <c r="D51">
        <v>23.59</v>
      </c>
      <c r="E51" t="s">
        <v>44</v>
      </c>
    </row>
    <row r="52" spans="1:5">
      <c r="A52" t="s">
        <v>43</v>
      </c>
      <c r="B52" t="s">
        <v>16</v>
      </c>
      <c r="C52" s="3">
        <v>45971</v>
      </c>
      <c r="D52">
        <v>6.96</v>
      </c>
      <c r="E52" t="s">
        <v>44</v>
      </c>
    </row>
    <row r="53" spans="1:5">
      <c r="A53" t="s">
        <v>49</v>
      </c>
      <c r="B53" t="s">
        <v>10</v>
      </c>
      <c r="C53" s="3">
        <v>46004</v>
      </c>
      <c r="D53">
        <v>9.57</v>
      </c>
      <c r="E53" t="s">
        <v>48</v>
      </c>
    </row>
    <row r="54" spans="1:5">
      <c r="A54" t="s">
        <v>45</v>
      </c>
      <c r="B54" t="s">
        <v>13</v>
      </c>
      <c r="C54" s="3">
        <v>45842</v>
      </c>
      <c r="D54">
        <v>7.99</v>
      </c>
      <c r="E54" t="s">
        <v>44</v>
      </c>
    </row>
    <row r="55" spans="1:5">
      <c r="A55" t="s">
        <v>49</v>
      </c>
      <c r="B55" t="s">
        <v>8</v>
      </c>
      <c r="C55" s="3">
        <v>45901</v>
      </c>
      <c r="D55">
        <v>29.62</v>
      </c>
      <c r="E55" t="s">
        <v>42</v>
      </c>
    </row>
    <row r="56" spans="1:5">
      <c r="A56" t="s">
        <v>45</v>
      </c>
      <c r="B56" t="s">
        <v>13</v>
      </c>
      <c r="C56" s="3">
        <v>45944</v>
      </c>
      <c r="D56">
        <v>11.6</v>
      </c>
      <c r="E56" t="s">
        <v>44</v>
      </c>
    </row>
    <row r="57" spans="1:5">
      <c r="A57" t="s">
        <v>45</v>
      </c>
      <c r="B57" t="s">
        <v>16</v>
      </c>
      <c r="C57" s="3">
        <v>45894</v>
      </c>
      <c r="D57">
        <v>3.12</v>
      </c>
      <c r="E57" t="s">
        <v>44</v>
      </c>
    </row>
    <row r="58" spans="1:5">
      <c r="A58" t="s">
        <v>43</v>
      </c>
      <c r="B58" t="s">
        <v>8</v>
      </c>
      <c r="C58" s="3">
        <v>45784</v>
      </c>
      <c r="D58">
        <v>2.15</v>
      </c>
      <c r="E58" t="s">
        <v>48</v>
      </c>
    </row>
    <row r="59" spans="1:5">
      <c r="A59" t="s">
        <v>46</v>
      </c>
      <c r="B59" t="s">
        <v>14</v>
      </c>
      <c r="C59" s="3">
        <v>45798</v>
      </c>
      <c r="D59">
        <v>21.67</v>
      </c>
      <c r="E59" t="s">
        <v>42</v>
      </c>
    </row>
    <row r="60" spans="1:5">
      <c r="A60" t="s">
        <v>46</v>
      </c>
      <c r="B60" t="s">
        <v>15</v>
      </c>
      <c r="C60" s="3">
        <v>45841</v>
      </c>
      <c r="D60">
        <v>19.579999999999998</v>
      </c>
      <c r="E60" t="s">
        <v>44</v>
      </c>
    </row>
    <row r="61" spans="1:5">
      <c r="A61" t="s">
        <v>49</v>
      </c>
      <c r="B61" t="s">
        <v>10</v>
      </c>
      <c r="C61" s="3">
        <v>45780</v>
      </c>
      <c r="D61">
        <v>9.99</v>
      </c>
      <c r="E61" t="s">
        <v>44</v>
      </c>
    </row>
    <row r="62" spans="1:5">
      <c r="A62" t="s">
        <v>45</v>
      </c>
      <c r="B62" t="s">
        <v>16</v>
      </c>
      <c r="C62" s="3">
        <v>45734</v>
      </c>
      <c r="D62">
        <v>10.48</v>
      </c>
      <c r="E62" t="s">
        <v>44</v>
      </c>
    </row>
    <row r="63" spans="1:5">
      <c r="A63" t="s">
        <v>47</v>
      </c>
      <c r="B63" t="s">
        <v>16</v>
      </c>
      <c r="C63" s="3">
        <v>45983</v>
      </c>
      <c r="D63">
        <v>19.649999999999999</v>
      </c>
      <c r="E63" t="s">
        <v>42</v>
      </c>
    </row>
    <row r="64" spans="1:5">
      <c r="A64" t="s">
        <v>47</v>
      </c>
      <c r="B64" t="s">
        <v>13</v>
      </c>
      <c r="C64" s="3">
        <v>46019</v>
      </c>
      <c r="D64">
        <v>7.92</v>
      </c>
      <c r="E64" t="s">
        <v>48</v>
      </c>
    </row>
    <row r="65" spans="1:5">
      <c r="A65" t="s">
        <v>43</v>
      </c>
      <c r="B65" t="s">
        <v>13</v>
      </c>
      <c r="C65" s="3">
        <v>45703</v>
      </c>
      <c r="D65">
        <v>18.760000000000002</v>
      </c>
      <c r="E65" t="s">
        <v>48</v>
      </c>
    </row>
    <row r="66" spans="1:5">
      <c r="A66" t="s">
        <v>41</v>
      </c>
      <c r="B66" t="s">
        <v>15</v>
      </c>
      <c r="C66" s="3">
        <v>46013</v>
      </c>
      <c r="D66">
        <v>22.48</v>
      </c>
      <c r="E66" t="s">
        <v>48</v>
      </c>
    </row>
    <row r="67" spans="1:5">
      <c r="A67" t="s">
        <v>43</v>
      </c>
      <c r="B67" t="s">
        <v>15</v>
      </c>
      <c r="C67" s="3">
        <v>45739</v>
      </c>
      <c r="D67">
        <v>1.33</v>
      </c>
      <c r="E67" t="s">
        <v>42</v>
      </c>
    </row>
    <row r="68" spans="1:5">
      <c r="A68" t="s">
        <v>41</v>
      </c>
      <c r="B68" t="s">
        <v>14</v>
      </c>
      <c r="C68" s="3">
        <v>45926</v>
      </c>
      <c r="D68">
        <v>24.85</v>
      </c>
      <c r="E68" t="s">
        <v>42</v>
      </c>
    </row>
    <row r="69" spans="1:5">
      <c r="A69" t="s">
        <v>45</v>
      </c>
      <c r="B69" t="s">
        <v>12</v>
      </c>
      <c r="C69" s="3">
        <v>45740</v>
      </c>
      <c r="D69">
        <v>23.65</v>
      </c>
      <c r="E69" t="s">
        <v>42</v>
      </c>
    </row>
    <row r="70" spans="1:5">
      <c r="A70" t="s">
        <v>47</v>
      </c>
      <c r="B70" t="s">
        <v>8</v>
      </c>
      <c r="C70" s="3">
        <v>45668</v>
      </c>
      <c r="D70">
        <v>24.41</v>
      </c>
      <c r="E70" t="s">
        <v>42</v>
      </c>
    </row>
    <row r="71" spans="1:5">
      <c r="A71" t="s">
        <v>49</v>
      </c>
      <c r="B71" t="s">
        <v>8</v>
      </c>
      <c r="C71" s="3">
        <v>45800</v>
      </c>
      <c r="D71">
        <v>29.28</v>
      </c>
      <c r="E71" t="s">
        <v>44</v>
      </c>
    </row>
    <row r="72" spans="1:5">
      <c r="A72" t="s">
        <v>43</v>
      </c>
      <c r="B72" t="s">
        <v>13</v>
      </c>
      <c r="C72" s="3">
        <v>45886</v>
      </c>
      <c r="D72">
        <v>11.44</v>
      </c>
      <c r="E72" t="s">
        <v>42</v>
      </c>
    </row>
    <row r="73" spans="1:5">
      <c r="A73" t="s">
        <v>49</v>
      </c>
      <c r="B73" t="s">
        <v>10</v>
      </c>
      <c r="C73" s="3">
        <v>45814</v>
      </c>
      <c r="D73">
        <v>8.4</v>
      </c>
      <c r="E73" t="s">
        <v>48</v>
      </c>
    </row>
    <row r="74" spans="1:5">
      <c r="A74" t="s">
        <v>49</v>
      </c>
      <c r="B74" t="s">
        <v>15</v>
      </c>
      <c r="C74" s="3">
        <v>45995</v>
      </c>
      <c r="D74">
        <v>7.62</v>
      </c>
      <c r="E74" t="s">
        <v>44</v>
      </c>
    </row>
    <row r="75" spans="1:5">
      <c r="A75" t="s">
        <v>43</v>
      </c>
      <c r="B75" t="s">
        <v>8</v>
      </c>
      <c r="C75" s="3">
        <v>45665</v>
      </c>
      <c r="D75">
        <v>2.33</v>
      </c>
      <c r="E75" t="s">
        <v>42</v>
      </c>
    </row>
    <row r="76" spans="1:5">
      <c r="A76" t="s">
        <v>46</v>
      </c>
      <c r="B76" t="s">
        <v>10</v>
      </c>
      <c r="C76" s="3">
        <v>45744</v>
      </c>
      <c r="D76">
        <v>2.0299999999999998</v>
      </c>
      <c r="E76" t="s">
        <v>44</v>
      </c>
    </row>
    <row r="77" spans="1:5">
      <c r="A77" t="s">
        <v>47</v>
      </c>
      <c r="B77" t="s">
        <v>15</v>
      </c>
      <c r="C77" s="3">
        <v>45846</v>
      </c>
      <c r="D77">
        <v>10.33</v>
      </c>
      <c r="E77" t="s">
        <v>42</v>
      </c>
    </row>
    <row r="78" spans="1:5">
      <c r="A78" t="s">
        <v>47</v>
      </c>
      <c r="B78" t="s">
        <v>12</v>
      </c>
      <c r="C78" s="3">
        <v>45804</v>
      </c>
      <c r="D78">
        <v>3.26</v>
      </c>
      <c r="E78" t="s">
        <v>42</v>
      </c>
    </row>
    <row r="79" spans="1:5">
      <c r="A79" t="s">
        <v>43</v>
      </c>
      <c r="B79" t="s">
        <v>14</v>
      </c>
      <c r="C79" s="3">
        <v>45963</v>
      </c>
      <c r="D79">
        <v>6.2</v>
      </c>
      <c r="E79" t="s">
        <v>44</v>
      </c>
    </row>
    <row r="80" spans="1:5">
      <c r="A80" t="s">
        <v>43</v>
      </c>
      <c r="B80" t="s">
        <v>13</v>
      </c>
      <c r="C80" s="3">
        <v>45703</v>
      </c>
      <c r="D80">
        <v>26.11</v>
      </c>
      <c r="E80" t="s">
        <v>42</v>
      </c>
    </row>
    <row r="81" spans="1:5">
      <c r="A81" t="s">
        <v>41</v>
      </c>
      <c r="B81" t="s">
        <v>8</v>
      </c>
      <c r="C81" s="3">
        <v>45915</v>
      </c>
      <c r="D81">
        <v>1.23</v>
      </c>
      <c r="E81" t="s">
        <v>48</v>
      </c>
    </row>
    <row r="82" spans="1:5">
      <c r="A82" t="s">
        <v>41</v>
      </c>
      <c r="B82" t="s">
        <v>14</v>
      </c>
      <c r="C82" s="3">
        <v>45801</v>
      </c>
      <c r="D82">
        <v>19.059999999999999</v>
      </c>
      <c r="E82" t="s">
        <v>42</v>
      </c>
    </row>
    <row r="83" spans="1:5">
      <c r="A83" t="s">
        <v>41</v>
      </c>
      <c r="B83" t="s">
        <v>14</v>
      </c>
      <c r="C83" s="3">
        <v>45894</v>
      </c>
      <c r="D83">
        <v>23.5</v>
      </c>
      <c r="E83" t="s">
        <v>44</v>
      </c>
    </row>
    <row r="84" spans="1:5">
      <c r="A84" t="s">
        <v>49</v>
      </c>
      <c r="B84" t="s">
        <v>16</v>
      </c>
      <c r="C84" s="3">
        <v>45752</v>
      </c>
      <c r="D84">
        <v>1.18</v>
      </c>
      <c r="E84" t="s">
        <v>42</v>
      </c>
    </row>
    <row r="85" spans="1:5">
      <c r="A85" t="s">
        <v>43</v>
      </c>
      <c r="B85" t="s">
        <v>10</v>
      </c>
      <c r="C85" s="3">
        <v>45912</v>
      </c>
      <c r="D85">
        <v>19.440000000000001</v>
      </c>
      <c r="E85" t="s">
        <v>44</v>
      </c>
    </row>
    <row r="86" spans="1:5">
      <c r="A86" t="s">
        <v>43</v>
      </c>
      <c r="B86" t="s">
        <v>12</v>
      </c>
      <c r="C86" s="3">
        <v>45682</v>
      </c>
      <c r="D86">
        <v>20.059999999999999</v>
      </c>
      <c r="E86" t="s">
        <v>44</v>
      </c>
    </row>
    <row r="87" spans="1:5">
      <c r="A87" t="s">
        <v>47</v>
      </c>
      <c r="B87" t="s">
        <v>12</v>
      </c>
      <c r="C87" s="3">
        <v>45695</v>
      </c>
      <c r="D87">
        <v>16.36</v>
      </c>
      <c r="E87" t="s">
        <v>48</v>
      </c>
    </row>
    <row r="88" spans="1:5">
      <c r="A88" t="s">
        <v>46</v>
      </c>
      <c r="B88" t="s">
        <v>13</v>
      </c>
      <c r="C88" s="3">
        <v>45662</v>
      </c>
      <c r="D88">
        <v>21.64</v>
      </c>
      <c r="E88" t="s">
        <v>48</v>
      </c>
    </row>
    <row r="89" spans="1:5">
      <c r="A89" t="s">
        <v>43</v>
      </c>
      <c r="B89" t="s">
        <v>10</v>
      </c>
      <c r="C89" s="3">
        <v>45914</v>
      </c>
      <c r="D89">
        <v>21.32</v>
      </c>
      <c r="E89" t="s">
        <v>42</v>
      </c>
    </row>
    <row r="90" spans="1:5">
      <c r="A90" t="s">
        <v>46</v>
      </c>
      <c r="B90" t="s">
        <v>15</v>
      </c>
      <c r="C90" s="3">
        <v>45707</v>
      </c>
      <c r="D90">
        <v>3.77</v>
      </c>
      <c r="E90" t="s">
        <v>48</v>
      </c>
    </row>
    <row r="91" spans="1:5">
      <c r="A91" t="s">
        <v>47</v>
      </c>
      <c r="B91" t="s">
        <v>16</v>
      </c>
      <c r="C91" s="3">
        <v>45841</v>
      </c>
      <c r="D91">
        <v>18.16</v>
      </c>
      <c r="E91" t="s">
        <v>48</v>
      </c>
    </row>
    <row r="92" spans="1:5">
      <c r="A92" t="s">
        <v>46</v>
      </c>
      <c r="B92" t="s">
        <v>15</v>
      </c>
      <c r="C92" s="3">
        <v>45724</v>
      </c>
      <c r="D92">
        <v>9.4600000000000009</v>
      </c>
      <c r="E92" t="s">
        <v>42</v>
      </c>
    </row>
    <row r="93" spans="1:5">
      <c r="A93" t="s">
        <v>46</v>
      </c>
      <c r="B93" t="s">
        <v>15</v>
      </c>
      <c r="C93" s="3">
        <v>46002</v>
      </c>
      <c r="D93">
        <v>10.220000000000001</v>
      </c>
      <c r="E93" t="s">
        <v>42</v>
      </c>
    </row>
    <row r="94" spans="1:5">
      <c r="A94" t="s">
        <v>45</v>
      </c>
      <c r="B94" t="s">
        <v>8</v>
      </c>
      <c r="C94" s="3">
        <v>45752</v>
      </c>
      <c r="D94">
        <v>23.62</v>
      </c>
      <c r="E94" t="s">
        <v>44</v>
      </c>
    </row>
    <row r="95" spans="1:5">
      <c r="A95" t="s">
        <v>43</v>
      </c>
      <c r="B95" t="s">
        <v>10</v>
      </c>
      <c r="C95" s="3">
        <v>45694</v>
      </c>
      <c r="D95">
        <v>14.04</v>
      </c>
      <c r="E95" t="s">
        <v>42</v>
      </c>
    </row>
    <row r="96" spans="1:5">
      <c r="A96" t="s">
        <v>46</v>
      </c>
      <c r="B96" t="s">
        <v>8</v>
      </c>
      <c r="C96" s="3">
        <v>45912</v>
      </c>
      <c r="D96">
        <v>28.97</v>
      </c>
      <c r="E96" t="s">
        <v>48</v>
      </c>
    </row>
    <row r="97" spans="1:5">
      <c r="A97" t="s">
        <v>46</v>
      </c>
      <c r="B97" t="s">
        <v>12</v>
      </c>
      <c r="C97" s="3">
        <v>45878</v>
      </c>
      <c r="D97">
        <v>25.72</v>
      </c>
      <c r="E97" t="s">
        <v>48</v>
      </c>
    </row>
    <row r="98" spans="1:5">
      <c r="A98" t="s">
        <v>45</v>
      </c>
      <c r="B98" t="s">
        <v>16</v>
      </c>
      <c r="C98" s="3">
        <v>45971</v>
      </c>
      <c r="D98">
        <v>24.97</v>
      </c>
      <c r="E98" t="s">
        <v>44</v>
      </c>
    </row>
    <row r="99" spans="1:5">
      <c r="A99" t="s">
        <v>49</v>
      </c>
      <c r="B99" t="s">
        <v>8</v>
      </c>
      <c r="C99" s="3">
        <v>45774</v>
      </c>
      <c r="D99">
        <v>25.84</v>
      </c>
      <c r="E99" t="s">
        <v>48</v>
      </c>
    </row>
    <row r="100" spans="1:5">
      <c r="A100" t="s">
        <v>43</v>
      </c>
      <c r="B100" t="s">
        <v>15</v>
      </c>
      <c r="C100" s="3">
        <v>45759</v>
      </c>
      <c r="D100">
        <v>12.49</v>
      </c>
      <c r="E100" t="s">
        <v>48</v>
      </c>
    </row>
    <row r="101" spans="1:5">
      <c r="A101" t="s">
        <v>47</v>
      </c>
      <c r="B101" t="s">
        <v>12</v>
      </c>
      <c r="C101" s="3">
        <v>45804</v>
      </c>
      <c r="D101">
        <v>29.73</v>
      </c>
      <c r="E101" t="s">
        <v>48</v>
      </c>
    </row>
    <row r="102" spans="1:5">
      <c r="A102" t="s">
        <v>46</v>
      </c>
      <c r="B102" t="s">
        <v>16</v>
      </c>
      <c r="C102" s="3">
        <v>45887</v>
      </c>
      <c r="D102">
        <v>22.69</v>
      </c>
      <c r="E102" t="s">
        <v>48</v>
      </c>
    </row>
    <row r="103" spans="1:5">
      <c r="A103" t="s">
        <v>43</v>
      </c>
      <c r="B103" t="s">
        <v>13</v>
      </c>
      <c r="C103" s="3">
        <v>45714</v>
      </c>
      <c r="D103">
        <v>24.02</v>
      </c>
      <c r="E103" t="s">
        <v>48</v>
      </c>
    </row>
    <row r="104" spans="1:5">
      <c r="A104" t="s">
        <v>43</v>
      </c>
      <c r="B104" t="s">
        <v>8</v>
      </c>
      <c r="C104" s="3">
        <v>45752</v>
      </c>
      <c r="D104">
        <v>6.75</v>
      </c>
      <c r="E104" t="s">
        <v>42</v>
      </c>
    </row>
    <row r="105" spans="1:5">
      <c r="A105" t="s">
        <v>41</v>
      </c>
      <c r="B105" t="s">
        <v>15</v>
      </c>
      <c r="C105" s="3">
        <v>45982</v>
      </c>
      <c r="D105">
        <v>3.44</v>
      </c>
      <c r="E105" t="s">
        <v>44</v>
      </c>
    </row>
    <row r="106" spans="1:5">
      <c r="A106" t="s">
        <v>41</v>
      </c>
      <c r="B106" t="s">
        <v>16</v>
      </c>
      <c r="C106" s="3">
        <v>45689</v>
      </c>
      <c r="D106">
        <v>29.92</v>
      </c>
      <c r="E106" t="s">
        <v>48</v>
      </c>
    </row>
    <row r="107" spans="1:5">
      <c r="A107" t="s">
        <v>47</v>
      </c>
      <c r="B107" t="s">
        <v>13</v>
      </c>
      <c r="C107" s="3">
        <v>45719</v>
      </c>
      <c r="D107">
        <v>27.25</v>
      </c>
      <c r="E107" t="s">
        <v>42</v>
      </c>
    </row>
    <row r="108" spans="1:5">
      <c r="A108" t="s">
        <v>43</v>
      </c>
      <c r="B108" t="s">
        <v>8</v>
      </c>
      <c r="C108" s="3">
        <v>45871</v>
      </c>
      <c r="D108">
        <v>5.87</v>
      </c>
      <c r="E108" t="s">
        <v>44</v>
      </c>
    </row>
    <row r="109" spans="1:5">
      <c r="A109" t="s">
        <v>46</v>
      </c>
      <c r="B109" t="s">
        <v>16</v>
      </c>
      <c r="C109" s="3">
        <v>46004</v>
      </c>
      <c r="D109">
        <v>15.39</v>
      </c>
      <c r="E109" t="s">
        <v>42</v>
      </c>
    </row>
    <row r="110" spans="1:5">
      <c r="A110" t="s">
        <v>47</v>
      </c>
      <c r="B110" t="s">
        <v>13</v>
      </c>
      <c r="C110" s="3">
        <v>45728</v>
      </c>
      <c r="D110">
        <v>7.23</v>
      </c>
      <c r="E110" t="s">
        <v>48</v>
      </c>
    </row>
    <row r="111" spans="1:5">
      <c r="A111" t="s">
        <v>41</v>
      </c>
      <c r="B111" t="s">
        <v>12</v>
      </c>
      <c r="C111" s="3">
        <v>45874</v>
      </c>
      <c r="D111">
        <v>2</v>
      </c>
      <c r="E111" t="s">
        <v>44</v>
      </c>
    </row>
    <row r="112" spans="1:5">
      <c r="A112" t="s">
        <v>49</v>
      </c>
      <c r="B112" t="s">
        <v>10</v>
      </c>
      <c r="C112" s="3">
        <v>45971</v>
      </c>
      <c r="D112">
        <v>15.47</v>
      </c>
      <c r="E112" t="s">
        <v>44</v>
      </c>
    </row>
    <row r="113" spans="1:5">
      <c r="A113" t="s">
        <v>46</v>
      </c>
      <c r="B113" t="s">
        <v>8</v>
      </c>
      <c r="C113" s="3">
        <v>45697</v>
      </c>
      <c r="D113">
        <v>12.11</v>
      </c>
      <c r="E113" t="s">
        <v>42</v>
      </c>
    </row>
    <row r="114" spans="1:5">
      <c r="A114" t="s">
        <v>45</v>
      </c>
      <c r="B114" t="s">
        <v>15</v>
      </c>
      <c r="C114" s="3">
        <v>45908</v>
      </c>
      <c r="D114">
        <v>19.29</v>
      </c>
      <c r="E114" t="s">
        <v>44</v>
      </c>
    </row>
    <row r="115" spans="1:5">
      <c r="A115" t="s">
        <v>43</v>
      </c>
      <c r="B115" t="s">
        <v>13</v>
      </c>
      <c r="C115" s="3">
        <v>46003</v>
      </c>
      <c r="D115">
        <v>14.91</v>
      </c>
      <c r="E115" t="s">
        <v>42</v>
      </c>
    </row>
    <row r="116" spans="1:5">
      <c r="A116" t="s">
        <v>41</v>
      </c>
      <c r="B116" t="s">
        <v>14</v>
      </c>
      <c r="C116" s="3">
        <v>45911</v>
      </c>
      <c r="D116">
        <v>12.26</v>
      </c>
      <c r="E116" t="s">
        <v>48</v>
      </c>
    </row>
    <row r="117" spans="1:5">
      <c r="A117" t="s">
        <v>43</v>
      </c>
      <c r="B117" t="s">
        <v>12</v>
      </c>
      <c r="C117" s="3">
        <v>45938</v>
      </c>
      <c r="D117">
        <v>1.85</v>
      </c>
      <c r="E117" t="s">
        <v>42</v>
      </c>
    </row>
    <row r="118" spans="1:5">
      <c r="A118" t="s">
        <v>43</v>
      </c>
      <c r="B118" t="s">
        <v>16</v>
      </c>
      <c r="C118" s="3">
        <v>45886</v>
      </c>
      <c r="D118">
        <v>11.37</v>
      </c>
      <c r="E118" t="s">
        <v>44</v>
      </c>
    </row>
    <row r="119" spans="1:5">
      <c r="A119" t="s">
        <v>45</v>
      </c>
      <c r="B119" t="s">
        <v>10</v>
      </c>
      <c r="C119" s="3">
        <v>45696</v>
      </c>
      <c r="D119">
        <v>20.05</v>
      </c>
      <c r="E119" t="s">
        <v>42</v>
      </c>
    </row>
    <row r="120" spans="1:5">
      <c r="A120" t="s">
        <v>49</v>
      </c>
      <c r="B120" t="s">
        <v>16</v>
      </c>
      <c r="C120" s="3">
        <v>45993</v>
      </c>
      <c r="D120">
        <v>23.16</v>
      </c>
      <c r="E120" t="s">
        <v>48</v>
      </c>
    </row>
    <row r="121" spans="1:5">
      <c r="A121" t="s">
        <v>49</v>
      </c>
      <c r="B121" t="s">
        <v>16</v>
      </c>
      <c r="C121" s="3">
        <v>45850</v>
      </c>
      <c r="D121">
        <v>28.12</v>
      </c>
      <c r="E121" t="s">
        <v>48</v>
      </c>
    </row>
    <row r="122" spans="1:5">
      <c r="A122" t="s">
        <v>45</v>
      </c>
      <c r="B122" t="s">
        <v>10</v>
      </c>
      <c r="C122" s="3">
        <v>45941</v>
      </c>
      <c r="D122">
        <v>24.38</v>
      </c>
      <c r="E122" t="s">
        <v>44</v>
      </c>
    </row>
    <row r="123" spans="1:5">
      <c r="A123" t="s">
        <v>41</v>
      </c>
      <c r="B123" t="s">
        <v>14</v>
      </c>
      <c r="C123" s="3">
        <v>45680</v>
      </c>
      <c r="D123">
        <v>21.32</v>
      </c>
      <c r="E123" t="s">
        <v>44</v>
      </c>
    </row>
    <row r="124" spans="1:5">
      <c r="A124" t="s">
        <v>49</v>
      </c>
      <c r="B124" t="s">
        <v>10</v>
      </c>
      <c r="C124" s="3">
        <v>45937</v>
      </c>
      <c r="D124">
        <v>25.26</v>
      </c>
      <c r="E124" t="s">
        <v>42</v>
      </c>
    </row>
    <row r="125" spans="1:5">
      <c r="A125" t="s">
        <v>49</v>
      </c>
      <c r="B125" t="s">
        <v>12</v>
      </c>
      <c r="C125" s="3">
        <v>45732</v>
      </c>
      <c r="D125">
        <v>2.1</v>
      </c>
      <c r="E125" t="s">
        <v>48</v>
      </c>
    </row>
    <row r="126" spans="1:5">
      <c r="A126" t="s">
        <v>45</v>
      </c>
      <c r="B126" t="s">
        <v>14</v>
      </c>
      <c r="C126" s="3">
        <v>45748</v>
      </c>
      <c r="D126">
        <v>16.27</v>
      </c>
      <c r="E126" t="s">
        <v>48</v>
      </c>
    </row>
    <row r="127" spans="1:5">
      <c r="A127" t="s">
        <v>41</v>
      </c>
      <c r="B127" t="s">
        <v>14</v>
      </c>
      <c r="C127" s="3">
        <v>45773</v>
      </c>
      <c r="D127">
        <v>4.78</v>
      </c>
      <c r="E127" t="s">
        <v>44</v>
      </c>
    </row>
    <row r="128" spans="1:5">
      <c r="A128" t="s">
        <v>45</v>
      </c>
      <c r="B128" t="s">
        <v>16</v>
      </c>
      <c r="C128" s="3">
        <v>45810</v>
      </c>
      <c r="D128">
        <v>1.64</v>
      </c>
      <c r="E128" t="s">
        <v>44</v>
      </c>
    </row>
    <row r="129" spans="1:5">
      <c r="A129" t="s">
        <v>47</v>
      </c>
      <c r="B129" t="s">
        <v>10</v>
      </c>
      <c r="C129" s="3">
        <v>45716</v>
      </c>
      <c r="D129">
        <v>16.260000000000002</v>
      </c>
      <c r="E129" t="s">
        <v>42</v>
      </c>
    </row>
    <row r="130" spans="1:5">
      <c r="A130" t="s">
        <v>43</v>
      </c>
      <c r="B130" t="s">
        <v>12</v>
      </c>
      <c r="C130" s="3">
        <v>46013</v>
      </c>
      <c r="D130">
        <v>12.47</v>
      </c>
      <c r="E130" t="s">
        <v>48</v>
      </c>
    </row>
    <row r="131" spans="1:5">
      <c r="A131" t="s">
        <v>41</v>
      </c>
      <c r="B131" t="s">
        <v>12</v>
      </c>
      <c r="C131" s="3">
        <v>45813</v>
      </c>
      <c r="D131">
        <v>29.3</v>
      </c>
      <c r="E131" t="s">
        <v>44</v>
      </c>
    </row>
    <row r="132" spans="1:5">
      <c r="A132" t="s">
        <v>46</v>
      </c>
      <c r="B132" t="s">
        <v>16</v>
      </c>
      <c r="C132" s="3">
        <v>45977</v>
      </c>
      <c r="D132">
        <v>19.829999999999998</v>
      </c>
      <c r="E132" t="s">
        <v>48</v>
      </c>
    </row>
    <row r="133" spans="1:5">
      <c r="A133" t="s">
        <v>47</v>
      </c>
      <c r="B133" t="s">
        <v>14</v>
      </c>
      <c r="C133" s="3">
        <v>46011</v>
      </c>
      <c r="D133">
        <v>23.82</v>
      </c>
      <c r="E133" t="s">
        <v>48</v>
      </c>
    </row>
    <row r="134" spans="1:5">
      <c r="A134" t="s">
        <v>47</v>
      </c>
      <c r="B134" t="s">
        <v>14</v>
      </c>
      <c r="C134" s="3">
        <v>45729</v>
      </c>
      <c r="D134">
        <v>9.9</v>
      </c>
      <c r="E134" t="s">
        <v>44</v>
      </c>
    </row>
    <row r="135" spans="1:5">
      <c r="A135" t="s">
        <v>41</v>
      </c>
      <c r="B135" t="s">
        <v>10</v>
      </c>
      <c r="C135" s="3">
        <v>45740</v>
      </c>
      <c r="D135">
        <v>1.05</v>
      </c>
      <c r="E135" t="s">
        <v>44</v>
      </c>
    </row>
    <row r="136" spans="1:5">
      <c r="A136" t="s">
        <v>49</v>
      </c>
      <c r="B136" t="s">
        <v>13</v>
      </c>
      <c r="C136" s="3">
        <v>45932</v>
      </c>
      <c r="D136">
        <v>6.28</v>
      </c>
      <c r="E136" t="s">
        <v>42</v>
      </c>
    </row>
    <row r="137" spans="1:5">
      <c r="A137" t="s">
        <v>49</v>
      </c>
      <c r="B137" t="s">
        <v>10</v>
      </c>
      <c r="C137" s="3">
        <v>45980</v>
      </c>
      <c r="D137">
        <v>4.0199999999999996</v>
      </c>
      <c r="E137" t="s">
        <v>42</v>
      </c>
    </row>
    <row r="138" spans="1:5">
      <c r="A138" t="s">
        <v>45</v>
      </c>
      <c r="B138" t="s">
        <v>12</v>
      </c>
      <c r="C138" s="3">
        <v>45994</v>
      </c>
      <c r="D138">
        <v>7.9</v>
      </c>
      <c r="E138" t="s">
        <v>42</v>
      </c>
    </row>
    <row r="139" spans="1:5">
      <c r="A139" t="s">
        <v>45</v>
      </c>
      <c r="B139" t="s">
        <v>15</v>
      </c>
      <c r="C139" s="3">
        <v>45715</v>
      </c>
      <c r="D139">
        <v>21.56</v>
      </c>
      <c r="E139" t="s">
        <v>44</v>
      </c>
    </row>
    <row r="140" spans="1:5">
      <c r="A140" t="s">
        <v>47</v>
      </c>
      <c r="B140" t="s">
        <v>12</v>
      </c>
      <c r="C140" s="3">
        <v>45870</v>
      </c>
      <c r="D140">
        <v>8.69</v>
      </c>
      <c r="E140" t="s">
        <v>48</v>
      </c>
    </row>
    <row r="141" spans="1:5">
      <c r="A141" t="s">
        <v>47</v>
      </c>
      <c r="B141" t="s">
        <v>8</v>
      </c>
      <c r="C141" s="3">
        <v>45817</v>
      </c>
      <c r="D141">
        <v>23.82</v>
      </c>
      <c r="E141" t="s">
        <v>44</v>
      </c>
    </row>
    <row r="142" spans="1:5">
      <c r="A142" t="s">
        <v>43</v>
      </c>
      <c r="B142" t="s">
        <v>8</v>
      </c>
      <c r="C142" s="3">
        <v>45853</v>
      </c>
      <c r="D142">
        <v>22.24</v>
      </c>
      <c r="E142" t="s">
        <v>48</v>
      </c>
    </row>
    <row r="143" spans="1:5">
      <c r="A143" t="s">
        <v>46</v>
      </c>
      <c r="B143" t="s">
        <v>13</v>
      </c>
      <c r="C143" s="3">
        <v>45850</v>
      </c>
      <c r="D143">
        <v>16.829999999999998</v>
      </c>
      <c r="E143" t="s">
        <v>48</v>
      </c>
    </row>
    <row r="144" spans="1:5">
      <c r="A144" t="s">
        <v>46</v>
      </c>
      <c r="B144" t="s">
        <v>16</v>
      </c>
      <c r="C144" s="3">
        <v>45951</v>
      </c>
      <c r="D144">
        <v>22.99</v>
      </c>
      <c r="E144" t="s">
        <v>48</v>
      </c>
    </row>
    <row r="145" spans="1:5">
      <c r="A145" t="s">
        <v>45</v>
      </c>
      <c r="B145" t="s">
        <v>13</v>
      </c>
      <c r="C145" s="3">
        <v>45714</v>
      </c>
      <c r="D145">
        <v>25.53</v>
      </c>
      <c r="E145" t="s">
        <v>42</v>
      </c>
    </row>
    <row r="146" spans="1:5">
      <c r="A146" t="s">
        <v>43</v>
      </c>
      <c r="B146" t="s">
        <v>12</v>
      </c>
      <c r="C146" s="3">
        <v>45781</v>
      </c>
      <c r="D146">
        <v>3.15</v>
      </c>
      <c r="E146" t="s">
        <v>48</v>
      </c>
    </row>
    <row r="147" spans="1:5">
      <c r="A147" t="s">
        <v>46</v>
      </c>
      <c r="B147" t="s">
        <v>10</v>
      </c>
      <c r="C147" s="3">
        <v>45994</v>
      </c>
      <c r="D147">
        <v>16.86</v>
      </c>
      <c r="E147" t="s">
        <v>48</v>
      </c>
    </row>
    <row r="148" spans="1:5">
      <c r="A148" t="s">
        <v>41</v>
      </c>
      <c r="B148" t="s">
        <v>14</v>
      </c>
      <c r="C148" s="3">
        <v>45946</v>
      </c>
      <c r="D148">
        <v>21.43</v>
      </c>
      <c r="E148" t="s">
        <v>42</v>
      </c>
    </row>
    <row r="149" spans="1:5">
      <c r="A149" t="s">
        <v>47</v>
      </c>
      <c r="B149" t="s">
        <v>10</v>
      </c>
      <c r="C149" s="3">
        <v>45944</v>
      </c>
      <c r="D149">
        <v>5.56</v>
      </c>
      <c r="E149" t="s">
        <v>48</v>
      </c>
    </row>
    <row r="150" spans="1:5">
      <c r="A150" t="s">
        <v>41</v>
      </c>
      <c r="B150" t="s">
        <v>10</v>
      </c>
      <c r="C150" s="3">
        <v>45761</v>
      </c>
      <c r="D150">
        <v>21.22</v>
      </c>
      <c r="E150" t="s">
        <v>44</v>
      </c>
    </row>
    <row r="151" spans="1:5">
      <c r="A151" t="s">
        <v>47</v>
      </c>
      <c r="B151" t="s">
        <v>14</v>
      </c>
      <c r="C151" s="3">
        <v>45799</v>
      </c>
      <c r="D151">
        <v>9.16</v>
      </c>
      <c r="E151" t="s">
        <v>48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DCDE-603B-344E-813A-925B40BCD490}">
  <dimension ref="A2:E36"/>
  <sheetViews>
    <sheetView workbookViewId="0">
      <selection activeCell="H39" sqref="H39"/>
    </sheetView>
  </sheetViews>
  <sheetFormatPr baseColWidth="10" defaultRowHeight="14"/>
  <cols>
    <col min="1" max="1" width="9" bestFit="1" customWidth="1"/>
    <col min="3" max="3" width="13" bestFit="1" customWidth="1"/>
  </cols>
  <sheetData>
    <row r="2" spans="1:5">
      <c r="A2" s="1" t="s">
        <v>0</v>
      </c>
      <c r="C2" s="1" t="s">
        <v>2</v>
      </c>
      <c r="E2" s="1" t="s">
        <v>66</v>
      </c>
    </row>
    <row r="3" spans="1:5">
      <c r="A3" s="8" t="str" cm="1">
        <f t="array" ref="A3">IFERROR(INDEX(月度成本明细!$A$2:$A$5000,MATCH(0,COUNTIF($A$1:A2,月度成本明细!$A$2:$A$5000)+IF(月度成本明细!$A$2:$A$5000="",1,0),0)),"")</f>
        <v>2025-01</v>
      </c>
      <c r="C3" s="8" t="str">
        <f t="array" ref="C3">IFERROR(INDEX(供应商采购成本!$B$2:$B$5000,MATCH(0,COUNTIF($A$1:C2,供应商采购成本!$B$2:$B$5000)+IF(供应商采购成本!$B$2:$B$5000="",1,0),0)),"")</f>
        <v>设备采购</v>
      </c>
      <c r="E3" s="8" t="str" cm="1">
        <f t="array" ref="E3">IFERROR(INDEX(月度成本明细!$B$2:$B$5000,MATCH(0,COUNTIF($A$1:E2,月度成本明细!$B$2:$B$5000)+IF(月度成本明细!$B$2:$B$5000="",1,0),0)),"")</f>
        <v>研发部</v>
      </c>
    </row>
    <row r="4" spans="1:5">
      <c r="A4" s="8" t="str">
        <f t="array" ref="A4">IFERROR(INDEX(月度成本明细!$A$2:$A$5000,MATCH(0,COUNTIF($A$1:A3,月度成本明细!$A$2:$A$5000)+IF(月度成本明细!$A$2:$A$5000="",1,0),0)),"")</f>
        <v>2025-02</v>
      </c>
      <c r="C4" s="8" t="str">
        <f t="array" ref="C4">IFERROR(INDEX(供应商采购成本!$B$2:$B$5000,MATCH(0,COUNTIF($A$1:C3,供应商采购成本!$B$2:$B$5000)+IF(供应商采购成本!$B$2:$B$5000="",1,0),0)),"")</f>
        <v>云服务器费用</v>
      </c>
      <c r="E4" s="8" t="str" cm="1">
        <f t="array" ref="E4">IFERROR(INDEX(月度成本明细!$B$2:$B$5000,MATCH(0,COUNTIF($A$1:E3,月度成本明细!$B$2:$B$5000)+IF(月度成本明细!$B$2:$B$5000="",1,0),0)),"")</f>
        <v>市场部</v>
      </c>
    </row>
    <row r="5" spans="1:5">
      <c r="A5" s="8" t="str">
        <f t="array" ref="A5">IFERROR(INDEX(月度成本明细!$A$2:$A$5000,MATCH(0,COUNTIF($A$1:A4,月度成本明细!$A$2:$A$5000)+IF(月度成本明细!$A$2:$A$5000="",1,0),0)),"")</f>
        <v>2025-03</v>
      </c>
      <c r="C5" s="8" t="str">
        <f t="array" ref="C5">IFERROR(INDEX(供应商采购成本!$B$2:$B$5000,MATCH(0,COUNTIF($A$1:C4,供应商采购成本!$B$2:$B$5000)+IF(供应商采购成本!$B$2:$B$5000="",1,0),0)),"")</f>
        <v>办公租金</v>
      </c>
      <c r="E5" s="8" t="str" cm="1">
        <f t="array" ref="E5">IFERROR(INDEX(月度成本明细!$B$2:$B$5000,MATCH(0,COUNTIF($A$1:E4,月度成本明细!$B$2:$B$5000)+IF(月度成本明细!$B$2:$B$5000="",1,0),0)),"")</f>
        <v>销售部</v>
      </c>
    </row>
    <row r="6" spans="1:5">
      <c r="A6" s="8" t="str">
        <f t="array" ref="A6">IFERROR(INDEX(月度成本明细!$A$2:$A$5000,MATCH(0,COUNTIF($A$1:A5,月度成本明细!$A$2:$A$5000)+IF(月度成本明细!$A$2:$A$5000="",1,0),0)),"")</f>
        <v>2025-04</v>
      </c>
      <c r="C6" s="8" t="str">
        <f t="array" ref="C6">IFERROR(INDEX(供应商采购成本!$B$2:$B$5000,MATCH(0,COUNTIF($A$1:C5,供应商采购成本!$B$2:$B$5000)+IF(供应商采购成本!$B$2:$B$5000="",1,0),0)),"")</f>
        <v>市场推广费</v>
      </c>
      <c r="E6" s="8" t="str" cm="1">
        <f t="array" ref="E6">IFERROR(INDEX(月度成本明细!$B$2:$B$5000,MATCH(0,COUNTIF($A$1:E5,月度成本明细!$B$2:$B$5000)+IF(月度成本明细!$B$2:$B$5000="",1,0),0)),"")</f>
        <v>运营部</v>
      </c>
    </row>
    <row r="7" spans="1:5">
      <c r="A7" s="8" t="str">
        <f t="array" ref="A7">IFERROR(INDEX(月度成本明细!$A$2:$A$5000,MATCH(0,COUNTIF($A$1:A6,月度成本明细!$A$2:$A$5000)+IF(月度成本明细!$A$2:$A$5000="",1,0),0)),"")</f>
        <v>2025-05</v>
      </c>
      <c r="C7" s="8" t="str">
        <f t="array" ref="C7">IFERROR(INDEX(供应商采购成本!$B$2:$B$5000,MATCH(0,COUNTIF($A$1:C6,供应商采购成本!$B$2:$B$5000)+IF(供应商采购成本!$B$2:$B$5000="",1,0),0)),"")</f>
        <v>培训费用</v>
      </c>
      <c r="E7" s="8" t="str" cm="1">
        <f t="array" ref="E7">IFERROR(INDEX(月度成本明细!$B$2:$B$5000,MATCH(0,COUNTIF($A$1:E6,月度成本明细!$B$2:$B$5000)+IF(月度成本明细!$B$2:$B$5000="",1,0),0)),"")</f>
        <v>人力资源部</v>
      </c>
    </row>
    <row r="8" spans="1:5">
      <c r="A8" s="8" t="str">
        <f t="array" ref="A8">IFERROR(INDEX(月度成本明细!$A$2:$A$5000,MATCH(0,COUNTIF($A$1:A7,月度成本明细!$A$2:$A$5000)+IF(月度成本明细!$A$2:$A$5000="",1,0),0)),"")</f>
        <v>2025-06</v>
      </c>
      <c r="C8" s="8" t="str">
        <f t="array" ref="C8">IFERROR(INDEX(供应商采购成本!$B$2:$B$5000,MATCH(0,COUNTIF($A$1:C7,供应商采购成本!$B$2:$B$5000)+IF(供应商采购成本!$B$2:$B$5000="",1,0),0)),"")</f>
        <v>差旅费</v>
      </c>
      <c r="E8" s="8" t="str" cm="1">
        <f t="array" ref="E8">IFERROR(INDEX(月度成本明细!$B$2:$B$5000,MATCH(0,COUNTIF($A$1:E7,月度成本明细!$B$2:$B$5000)+IF(月度成本明细!$B$2:$B$5000="",1,0),0)),"")</f>
        <v>行政部</v>
      </c>
    </row>
    <row r="9" spans="1:5">
      <c r="A9" s="8" t="str" cm="1">
        <f t="array" ref="A9">IFERROR(INDEX(月度成本明细!$A$2:$A$5000,MATCH(0,COUNTIF($A$1:A8,月度成本明细!$A$2:$A$5000)+IF(月度成本明细!$A$2:$A$5000="",1,0),0)),"")</f>
        <v>2025-07</v>
      </c>
      <c r="C9" s="8" t="str">
        <f t="array" ref="C9">IFERROR(INDEX(供应商采购成本!$B$2:$B$5000,MATCH(0,COUNTIF($A$1:C8,供应商采购成本!$B$2:$B$5000)+IF(供应商采购成本!$B$2:$B$5000="",1,0),0)),"")</f>
        <v>人力成本</v>
      </c>
      <c r="E9" t="str" cm="1">
        <f t="array" ref="E9">IFERROR(INDEX(月度成本明细!$B$2:$B$5000,MATCH(0,COUNTIF($A$1:E8,月度成本明细!$B$2:$B$5000)+IF(月度成本明细!$B$2:$B$5000="",1,0),0)),"")</f>
        <v/>
      </c>
    </row>
    <row r="10" spans="1:5">
      <c r="A10" s="8" t="str">
        <f t="array" ref="A10">IFERROR(INDEX(月度成本明细!$A$2:$A$5000,MATCH(0,COUNTIF($A$1:A9,月度成本明细!$A$2:$A$5000)+IF(月度成本明细!$A$2:$A$5000="",1,0),0)),"")</f>
        <v>2025-08</v>
      </c>
      <c r="C10" t="str">
        <f t="array" ref="C10">IFERROR(INDEX(供应商采购成本!$B$2:$B$5000,MATCH(0,COUNTIF($A$1:C9,供应商采购成本!$B$2:$B$5000)+IF(供应商采购成本!$B$2:$B$5000="",1,0),0)),"")</f>
        <v/>
      </c>
      <c r="E10" t="str" cm="1">
        <f t="array" ref="E10">IFERROR(INDEX(月度成本明细!$B$2:$B$5000,MATCH(0,COUNTIF($A$1:E9,月度成本明细!$B$2:$B$5000)+IF(月度成本明细!$B$2:$B$5000="",1,0),0)),"")</f>
        <v/>
      </c>
    </row>
    <row r="11" spans="1:5">
      <c r="A11" s="8" t="str">
        <f t="array" ref="A11">IFERROR(INDEX(月度成本明细!$A$2:$A$5000,MATCH(0,COUNTIF($A$1:A10,月度成本明细!$A$2:$A$5000)+IF(月度成本明细!$A$2:$A$5000="",1,0),0)),"")</f>
        <v>2025-09</v>
      </c>
      <c r="C11" t="str">
        <f t="array" ref="C11">IFERROR(INDEX(供应商采购成本!$B$2:$B$5000,MATCH(0,COUNTIF($A$1:C10,供应商采购成本!$B$2:$B$5000)+IF(供应商采购成本!$B$2:$B$5000="",1,0),0)),"")</f>
        <v/>
      </c>
      <c r="E11" t="str" cm="1">
        <f t="array" ref="E11">IFERROR(INDEX(月度成本明细!$B$2:$B$5000,MATCH(0,COUNTIF($A$1:E10,月度成本明细!$B$2:$B$5000)+IF(月度成本明细!$B$2:$B$5000="",1,0),0)),"")</f>
        <v/>
      </c>
    </row>
    <row r="12" spans="1:5">
      <c r="A12" s="8" t="str">
        <f t="array" ref="A12">IFERROR(INDEX(月度成本明细!$A$2:$A$5000,MATCH(0,COUNTIF($A$1:A11,月度成本明细!$A$2:$A$5000)+IF(月度成本明细!$A$2:$A$5000="",1,0),0)),"")</f>
        <v>2025-10</v>
      </c>
      <c r="C12" t="str">
        <f t="array" ref="C12">IFERROR(INDEX(供应商采购成本!$B$2:$B$5000,MATCH(0,COUNTIF($A$1:C11,供应商采购成本!$B$2:$B$5000)+IF(供应商采购成本!$B$2:$B$5000="",1,0),0)),"")</f>
        <v/>
      </c>
      <c r="E12" t="str" cm="1">
        <f t="array" ref="E12">IFERROR(INDEX(月度成本明细!$B$2:$B$5000,MATCH(0,COUNTIF($A$1:E11,月度成本明细!$B$2:$B$5000)+IF(月度成本明细!$B$2:$B$5000="",1,0),0)),"")</f>
        <v/>
      </c>
    </row>
    <row r="13" spans="1:5">
      <c r="A13" s="8" t="str">
        <f t="array" ref="A13">IFERROR(INDEX(月度成本明细!$A$2:$A$5000,MATCH(0,COUNTIF($A$1:A12,月度成本明细!$A$2:$A$5000)+IF(月度成本明细!$A$2:$A$5000="",1,0),0)),"")</f>
        <v>2025-11</v>
      </c>
      <c r="C13" t="str">
        <f t="array" ref="C13">IFERROR(INDEX(供应商采购成本!$B$2:$B$5000,MATCH(0,COUNTIF($A$1:C12,供应商采购成本!$B$2:$B$5000)+IF(供应商采购成本!$B$2:$B$5000="",1,0),0)),"")</f>
        <v/>
      </c>
      <c r="E13" t="str" cm="1">
        <f t="array" ref="E13">IFERROR(INDEX(月度成本明细!$B$2:$B$5000,MATCH(0,COUNTIF($A$1:E12,月度成本明细!$B$2:$B$5000)+IF(月度成本明细!$B$2:$B$5000="",1,0),0)),"")</f>
        <v/>
      </c>
    </row>
    <row r="14" spans="1:5">
      <c r="A14" s="8" t="str">
        <f t="array" ref="A14">IFERROR(INDEX(月度成本明细!$A$2:$A$5000,MATCH(0,COUNTIF($A$1:A13,月度成本明细!$A$2:$A$5000)+IF(月度成本明细!$A$2:$A$5000="",1,0),0)),"")</f>
        <v>2025-12</v>
      </c>
      <c r="C14" t="str">
        <f t="array" ref="C14">IFERROR(INDEX(供应商采购成本!$B$2:$B$5000,MATCH(0,COUNTIF($A$1:C13,供应商采购成本!$B$2:$B$5000)+IF(供应商采购成本!$B$2:$B$5000="",1,0),0)),"")</f>
        <v/>
      </c>
      <c r="E14" t="str" cm="1">
        <f t="array" ref="E14">IFERROR(INDEX(月度成本明细!$B$2:$B$5000,MATCH(0,COUNTIF($A$1:E13,月度成本明细!$B$2:$B$5000)+IF(月度成本明细!$B$2:$B$5000="",1,0),0)),"")</f>
        <v/>
      </c>
    </row>
    <row r="15" spans="1:5">
      <c r="A15" s="9"/>
    </row>
    <row r="16" spans="1:5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 s="9"/>
    </row>
    <row r="35" spans="1:1">
      <c r="A35" s="9"/>
    </row>
    <row r="36" spans="1:1">
      <c r="A36" s="9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workbookViewId="0">
      <pane ySplit="1" topLeftCell="A2" activePane="bottomLeft" state="frozen"/>
      <selection pane="bottomLeft" activeCell="C45" sqref="C45"/>
    </sheetView>
  </sheetViews>
  <sheetFormatPr baseColWidth="10" defaultColWidth="8.83203125" defaultRowHeight="14"/>
  <cols>
    <col min="1" max="1" width="93.1640625" bestFit="1" customWidth="1"/>
    <col min="2" max="2" width="21.1640625" bestFit="1" customWidth="1"/>
    <col min="3" max="3" width="19.1640625" bestFit="1" customWidth="1"/>
    <col min="4" max="5" width="15" bestFit="1" customWidth="1"/>
    <col min="6" max="6" width="11.1640625" bestFit="1" customWidth="1"/>
    <col min="7" max="7" width="9.33203125" bestFit="1" customWidth="1"/>
    <col min="8" max="8" width="10" bestFit="1" customWidth="1"/>
  </cols>
  <sheetData>
    <row r="1" spans="1:8" ht="17">
      <c r="A1" s="4" t="s">
        <v>56</v>
      </c>
    </row>
    <row r="3" spans="1:8" ht="15">
      <c r="A3" s="5" t="s">
        <v>57</v>
      </c>
    </row>
    <row r="4" spans="1:8">
      <c r="A4" s="1" t="s">
        <v>0</v>
      </c>
      <c r="B4" s="1" t="s">
        <v>50</v>
      </c>
      <c r="C4" s="1" t="s">
        <v>51</v>
      </c>
      <c r="D4" s="1" t="s">
        <v>58</v>
      </c>
      <c r="E4" s="1" t="s">
        <v>35</v>
      </c>
      <c r="F4" s="1" t="s">
        <v>59</v>
      </c>
      <c r="G4" s="1" t="s">
        <v>52</v>
      </c>
      <c r="H4" s="1" t="s">
        <v>53</v>
      </c>
    </row>
    <row r="5" spans="1:8">
      <c r="A5" t="str">
        <f>分类整理!A3</f>
        <v>2025-01</v>
      </c>
      <c r="B5">
        <f>IF($A5="","",SUMIF(月度成本明细!$A:$A,$A5,月度成本明细!$D:$D))</f>
        <v>1526.36</v>
      </c>
      <c r="C5">
        <f>IF($A5="","",SUMIF(月度成本明细!$A:$A,$A5,月度成本明细!$E:$E))</f>
        <v>1544.0400000000004</v>
      </c>
      <c r="D5">
        <f t="shared" ref="D5:D16" si="0">IF($A5="","",B5-C5)</f>
        <v>-17.680000000000518</v>
      </c>
      <c r="E5" s="2">
        <f t="shared" ref="E5:E16" si="1">IF($A5="","",B5/C5)</f>
        <v>0.98854951944250113</v>
      </c>
      <c r="F5" s="2">
        <f>IF($A5="","",G5/H5)</f>
        <v>0.47619047619047616</v>
      </c>
      <c r="G5">
        <f>IF($A5="","",COUNTIFS(月度成本明细!$A:$A,$A5,月度成本明细!$F:$F,"是"))</f>
        <v>20</v>
      </c>
      <c r="H5">
        <f>IF($A5="","",COUNTIF(月度成本明细!$A:$A,$A5))</f>
        <v>42</v>
      </c>
    </row>
    <row r="6" spans="1:8">
      <c r="A6" t="str">
        <f>分类整理!A4</f>
        <v>2025-02</v>
      </c>
      <c r="B6">
        <f>IF($A6="","",SUMIF(月度成本明细!$A:$A,$A6,月度成本明细!$D:$D))</f>
        <v>1485.6299999999999</v>
      </c>
      <c r="C6">
        <f>IF($A6="","",SUMIF(月度成本明细!$A:$A,$A6,月度成本明细!$E:$E))</f>
        <v>1544.0400000000004</v>
      </c>
      <c r="D6">
        <f t="shared" si="0"/>
        <v>-58.410000000000537</v>
      </c>
      <c r="E6" s="2">
        <f t="shared" si="1"/>
        <v>0.96217066915364857</v>
      </c>
      <c r="F6" s="2">
        <f t="shared" ref="F6:F16" si="2">IF($A6="","",G6/H6)</f>
        <v>0.5</v>
      </c>
      <c r="G6">
        <f>IF($A6="","",COUNTIFS(月度成本明细!$A:$A,$A6,月度成本明细!$F:$F,"是"))</f>
        <v>21</v>
      </c>
      <c r="H6">
        <f>IF($A6="","",COUNTIF(月度成本明细!$A:$A,$A6))</f>
        <v>42</v>
      </c>
    </row>
    <row r="7" spans="1:8">
      <c r="A7" t="str">
        <f>分类整理!A5</f>
        <v>2025-03</v>
      </c>
      <c r="B7">
        <f>IF($A7="","",SUMIF(月度成本明细!$A:$A,$A7,月度成本明细!$D:$D))</f>
        <v>1569.52</v>
      </c>
      <c r="C7">
        <f>IF($A7="","",SUMIF(月度成本明细!$A:$A,$A7,月度成本明细!$E:$E))</f>
        <v>1544.0400000000004</v>
      </c>
      <c r="D7">
        <f t="shared" si="0"/>
        <v>25.479999999999563</v>
      </c>
      <c r="E7" s="2">
        <f t="shared" si="1"/>
        <v>1.0165021631563946</v>
      </c>
      <c r="F7" s="2">
        <f t="shared" si="2"/>
        <v>0.54761904761904767</v>
      </c>
      <c r="G7">
        <f>IF($A7="","",COUNTIFS(月度成本明细!$A:$A,$A7,月度成本明细!$F:$F,"是"))</f>
        <v>23</v>
      </c>
      <c r="H7">
        <f>IF($A7="","",COUNTIF(月度成本明细!$A:$A,$A7))</f>
        <v>42</v>
      </c>
    </row>
    <row r="8" spans="1:8">
      <c r="A8" t="str">
        <f>分类整理!A6</f>
        <v>2025-04</v>
      </c>
      <c r="B8">
        <f>IF($A8="","",SUMIF(月度成本明细!$A:$A,$A8,月度成本明细!$D:$D))</f>
        <v>1581.05</v>
      </c>
      <c r="C8">
        <f>IF($A8="","",SUMIF(月度成本明细!$A:$A,$A8,月度成本明细!$E:$E))</f>
        <v>1544.0400000000004</v>
      </c>
      <c r="D8">
        <f t="shared" si="0"/>
        <v>37.009999999999536</v>
      </c>
      <c r="E8" s="2">
        <f t="shared" si="1"/>
        <v>1.0239695862801479</v>
      </c>
      <c r="F8" s="2">
        <f t="shared" si="2"/>
        <v>0.5</v>
      </c>
      <c r="G8">
        <f>IF($A8="","",COUNTIFS(月度成本明细!$A:$A,$A8,月度成本明细!$F:$F,"是"))</f>
        <v>21</v>
      </c>
      <c r="H8">
        <f>IF($A8="","",COUNTIF(月度成本明细!$A:$A,$A8))</f>
        <v>42</v>
      </c>
    </row>
    <row r="9" spans="1:8">
      <c r="A9" t="str">
        <f>分类整理!A7</f>
        <v>2025-05</v>
      </c>
      <c r="B9">
        <f>IF($A9="","",SUMIF(月度成本明细!$A:$A,$A9,月度成本明细!$D:$D))</f>
        <v>1651.1800000000005</v>
      </c>
      <c r="C9">
        <f>IF($A9="","",SUMIF(月度成本明细!$A:$A,$A9,月度成本明细!$E:$E))</f>
        <v>1544.0400000000004</v>
      </c>
      <c r="D9">
        <f t="shared" si="0"/>
        <v>107.1400000000001</v>
      </c>
      <c r="E9" s="2">
        <f t="shared" si="1"/>
        <v>1.0693893940571488</v>
      </c>
      <c r="F9" s="2">
        <f t="shared" si="2"/>
        <v>0.59523809523809523</v>
      </c>
      <c r="G9">
        <f>IF($A9="","",COUNTIFS(月度成本明细!$A:$A,$A9,月度成本明细!$F:$F,"是"))</f>
        <v>25</v>
      </c>
      <c r="H9">
        <f>IF($A9="","",COUNTIF(月度成本明细!$A:$A,$A9))</f>
        <v>42</v>
      </c>
    </row>
    <row r="10" spans="1:8">
      <c r="A10" t="str">
        <f>分类整理!A8</f>
        <v>2025-06</v>
      </c>
      <c r="B10">
        <f>IF($A10="","",SUMIF(月度成本明细!$A:$A,$A10,月度成本明细!$D:$D))</f>
        <v>1572.0700000000006</v>
      </c>
      <c r="C10">
        <f>IF($A10="","",SUMIF(月度成本明细!$A:$A,$A10,月度成本明细!$E:$E))</f>
        <v>1544.0400000000004</v>
      </c>
      <c r="D10">
        <f t="shared" si="0"/>
        <v>28.0300000000002</v>
      </c>
      <c r="E10" s="2">
        <f t="shared" si="1"/>
        <v>1.0181536747752651</v>
      </c>
      <c r="F10" s="2">
        <f t="shared" si="2"/>
        <v>0.52380952380952384</v>
      </c>
      <c r="G10">
        <f>IF($A10="","",COUNTIFS(月度成本明细!$A:$A,$A10,月度成本明细!$F:$F,"是"))</f>
        <v>22</v>
      </c>
      <c r="H10">
        <f>IF($A10="","",COUNTIF(月度成本明细!$A:$A,$A10))</f>
        <v>42</v>
      </c>
    </row>
    <row r="11" spans="1:8">
      <c r="A11" t="str">
        <f>分类整理!A9</f>
        <v>2025-07</v>
      </c>
      <c r="B11">
        <f>IF($A11="","",SUMIF(月度成本明细!$A:$A,$A11,月度成本明细!$D:$D))</f>
        <v>1519.5200000000002</v>
      </c>
      <c r="C11">
        <f>IF($A11="","",SUMIF(月度成本明细!$A:$A,$A11,月度成本明细!$E:$E))</f>
        <v>1544.0400000000004</v>
      </c>
      <c r="D11">
        <f t="shared" si="0"/>
        <v>-24.520000000000209</v>
      </c>
      <c r="E11" s="2">
        <f t="shared" si="1"/>
        <v>0.98411958239423836</v>
      </c>
      <c r="F11" s="2">
        <f t="shared" si="2"/>
        <v>0.52380952380952384</v>
      </c>
      <c r="G11">
        <f>IF($A11="","",COUNTIFS(月度成本明细!$A:$A,$A11,月度成本明细!$F:$F,"是"))</f>
        <v>22</v>
      </c>
      <c r="H11">
        <f>IF($A11="","",COUNTIF(月度成本明细!$A:$A,$A11))</f>
        <v>42</v>
      </c>
    </row>
    <row r="12" spans="1:8">
      <c r="A12" t="str">
        <f>分类整理!A10</f>
        <v>2025-08</v>
      </c>
      <c r="B12">
        <f>IF($A12="","",SUMIF(月度成本明细!$A:$A,$A12,月度成本明细!$D:$D))</f>
        <v>1564.6900000000003</v>
      </c>
      <c r="C12">
        <f>IF($A12="","",SUMIF(月度成本明细!$A:$A,$A12,月度成本明细!$E:$E))</f>
        <v>1544.0400000000004</v>
      </c>
      <c r="D12">
        <f t="shared" si="0"/>
        <v>20.649999999999864</v>
      </c>
      <c r="E12" s="2">
        <f t="shared" si="1"/>
        <v>1.0133740058547704</v>
      </c>
      <c r="F12" s="2">
        <f t="shared" si="2"/>
        <v>0.5</v>
      </c>
      <c r="G12">
        <f>IF($A12="","",COUNTIFS(月度成本明细!$A:$A,$A12,月度成本明细!$F:$F,"是"))</f>
        <v>21</v>
      </c>
      <c r="H12">
        <f>IF($A12="","",COUNTIF(月度成本明细!$A:$A,$A12))</f>
        <v>42</v>
      </c>
    </row>
    <row r="13" spans="1:8">
      <c r="A13" t="str">
        <f>分类整理!A11</f>
        <v>2025-09</v>
      </c>
      <c r="B13">
        <f>IF($A13="","",SUMIF(月度成本明细!$A:$A,$A13,月度成本明细!$D:$D))</f>
        <v>1493.0799999999997</v>
      </c>
      <c r="C13">
        <f>IF($A13="","",SUMIF(月度成本明细!$A:$A,$A13,月度成本明细!$E:$E))</f>
        <v>1544.0400000000004</v>
      </c>
      <c r="D13">
        <f t="shared" si="0"/>
        <v>-50.960000000000719</v>
      </c>
      <c r="E13" s="2">
        <f t="shared" si="1"/>
        <v>0.96699567368720973</v>
      </c>
      <c r="F13" s="2">
        <f t="shared" si="2"/>
        <v>0.40476190476190477</v>
      </c>
      <c r="G13">
        <f>IF($A13="","",COUNTIFS(月度成本明细!$A:$A,$A13,月度成本明细!$F:$F,"是"))</f>
        <v>17</v>
      </c>
      <c r="H13">
        <f>IF($A13="","",COUNTIF(月度成本明细!$A:$A,$A13))</f>
        <v>42</v>
      </c>
    </row>
    <row r="14" spans="1:8">
      <c r="A14" t="str">
        <f>分类整理!A12</f>
        <v>2025-10</v>
      </c>
      <c r="B14">
        <f>IF($A14="","",SUMIF(月度成本明细!$A:$A,$A14,月度成本明细!$D:$D))</f>
        <v>1479.8100000000002</v>
      </c>
      <c r="C14">
        <f>IF($A14="","",SUMIF(月度成本明细!$A:$A,$A14,月度成本明细!$E:$E))</f>
        <v>1544.0400000000004</v>
      </c>
      <c r="D14">
        <f t="shared" si="0"/>
        <v>-64.230000000000246</v>
      </c>
      <c r="E14" s="2">
        <f t="shared" si="1"/>
        <v>0.95840133675293371</v>
      </c>
      <c r="F14" s="2">
        <f t="shared" si="2"/>
        <v>0.35714285714285715</v>
      </c>
      <c r="G14">
        <f>IF($A14="","",COUNTIFS(月度成本明细!$A:$A,$A14,月度成本明细!$F:$F,"是"))</f>
        <v>15</v>
      </c>
      <c r="H14">
        <f>IF($A14="","",COUNTIF(月度成本明细!$A:$A,$A14))</f>
        <v>42</v>
      </c>
    </row>
    <row r="15" spans="1:8">
      <c r="A15" t="str">
        <f>分类整理!A13</f>
        <v>2025-11</v>
      </c>
      <c r="B15">
        <f>IF($A15="","",SUMIF(月度成本明细!$A:$A,$A15,月度成本明细!$D:$D))</f>
        <v>1618.5299999999997</v>
      </c>
      <c r="C15">
        <f>IF($A15="","",SUMIF(月度成本明细!$A:$A,$A15,月度成本明细!$E:$E))</f>
        <v>1544.0400000000004</v>
      </c>
      <c r="D15">
        <f t="shared" si="0"/>
        <v>74.489999999999327</v>
      </c>
      <c r="E15" s="2">
        <f t="shared" si="1"/>
        <v>1.0482435688194602</v>
      </c>
      <c r="F15" s="2">
        <f t="shared" si="2"/>
        <v>0.61904761904761907</v>
      </c>
      <c r="G15">
        <f>IF($A15="","",COUNTIFS(月度成本明细!$A:$A,$A15,月度成本明细!$F:$F,"是"))</f>
        <v>26</v>
      </c>
      <c r="H15">
        <f>IF($A15="","",COUNTIF(月度成本明细!$A:$A,$A15))</f>
        <v>42</v>
      </c>
    </row>
    <row r="16" spans="1:8">
      <c r="A16" t="str">
        <f>分类整理!A14</f>
        <v>2025-12</v>
      </c>
      <c r="B16">
        <f>IF($A16="","",SUMIF(月度成本明细!$A:$A,$A16,月度成本明细!$D:$D))</f>
        <v>1545.6399999999994</v>
      </c>
      <c r="C16">
        <f>IF($A16="","",SUMIF(月度成本明细!$A:$A,$A16,月度成本明细!$E:$E))</f>
        <v>1544.0400000000004</v>
      </c>
      <c r="D16">
        <f t="shared" si="0"/>
        <v>1.5999999999989996</v>
      </c>
      <c r="E16" s="2">
        <f t="shared" si="1"/>
        <v>1.0010362425843884</v>
      </c>
      <c r="F16" s="2">
        <f t="shared" si="2"/>
        <v>0.40476190476190477</v>
      </c>
      <c r="G16">
        <f>IF($A16="","",COUNTIFS(月度成本明细!$A:$A,$A16,月度成本明细!$F:$F,"是"))</f>
        <v>17</v>
      </c>
      <c r="H16">
        <f>IF($A16="","",COUNTIF(月度成本明细!$A:$A,$A16))</f>
        <v>42</v>
      </c>
    </row>
    <row r="17" spans="1:8">
      <c r="A17" s="6" t="s">
        <v>60</v>
      </c>
      <c r="B17" s="6">
        <f>SUM(B5:B16)</f>
        <v>18607.080000000002</v>
      </c>
      <c r="C17" s="6">
        <f>SUM(C5:C16)</f>
        <v>18528.480000000007</v>
      </c>
      <c r="D17" s="6">
        <f>SUM(D5:D16)</f>
        <v>78.599999999995362</v>
      </c>
      <c r="E17" s="7">
        <f>AVERAGE(E5:E16)</f>
        <v>1.0042421180798422</v>
      </c>
      <c r="F17" s="7">
        <f>AVERAGE(F5:F16)</f>
        <v>0.49603174603174605</v>
      </c>
      <c r="G17" s="6">
        <f>SUM(G5:G16)</f>
        <v>250</v>
      </c>
      <c r="H17" s="6">
        <f>SUM(H5:H16)</f>
        <v>504</v>
      </c>
    </row>
    <row r="20" spans="1:8" ht="15">
      <c r="A20" s="5" t="s">
        <v>61</v>
      </c>
    </row>
    <row r="21" spans="1:8">
      <c r="A21" s="1" t="s">
        <v>1</v>
      </c>
      <c r="B21" s="1" t="s">
        <v>33</v>
      </c>
      <c r="C21" s="1" t="s">
        <v>34</v>
      </c>
      <c r="D21" s="1" t="s">
        <v>58</v>
      </c>
    </row>
    <row r="22" spans="1:8">
      <c r="A22" t="str">
        <f>分类整理!E3</f>
        <v>研发部</v>
      </c>
      <c r="B22">
        <f>IF($A22="","",SUMIF(月度成本明细!$B:$B,$A22,月度成本明细!$D:$D))</f>
        <v>2923.5699999999993</v>
      </c>
      <c r="C22">
        <f>IF($A22="","",SUMIF(月度成本明细!$B:$B,$A22,月度成本明细!$E:$E))</f>
        <v>2863.3199999999993</v>
      </c>
      <c r="D22">
        <f t="shared" ref="D22:D27" si="3">B22-C22</f>
        <v>60.25</v>
      </c>
    </row>
    <row r="23" spans="1:8">
      <c r="A23" t="str">
        <f>分类整理!E4</f>
        <v>市场部</v>
      </c>
      <c r="B23">
        <f>IF($A23="","",SUMIF(月度成本明细!$B:$B,$A23,月度成本明细!$D:$D))</f>
        <v>3220.5300000000007</v>
      </c>
      <c r="C23">
        <f>IF($A23="","",SUMIF(月度成本明细!$B:$B,$A23,月度成本明细!$E:$E))</f>
        <v>3285.2400000000007</v>
      </c>
      <c r="D23">
        <f t="shared" si="3"/>
        <v>-64.710000000000036</v>
      </c>
    </row>
    <row r="24" spans="1:8">
      <c r="A24" t="str">
        <f>分类整理!E5</f>
        <v>销售部</v>
      </c>
      <c r="B24">
        <f>IF($A24="","",SUMIF(月度成本明细!$B:$B,$A24,月度成本明细!$D:$D))</f>
        <v>4130.45</v>
      </c>
      <c r="C24">
        <f>IF($A24="","",SUMIF(月度成本明细!$B:$B,$A24,月度成本明细!$E:$E))</f>
        <v>4138.3200000000006</v>
      </c>
      <c r="D24">
        <f t="shared" si="3"/>
        <v>-7.8700000000008004</v>
      </c>
    </row>
    <row r="25" spans="1:8">
      <c r="A25" t="str">
        <f>分类整理!E6</f>
        <v>运营部</v>
      </c>
      <c r="B25">
        <f>IF($A25="","",SUMIF(月度成本明细!$B:$B,$A25,月度成本明细!$D:$D))</f>
        <v>3005.7300000000005</v>
      </c>
      <c r="C25">
        <f>IF($A25="","",SUMIF(月度成本明细!$B:$B,$A25,月度成本明细!$E:$E))</f>
        <v>2939.7600000000011</v>
      </c>
      <c r="D25">
        <f t="shared" si="3"/>
        <v>65.969999999999345</v>
      </c>
    </row>
    <row r="26" spans="1:8">
      <c r="A26" t="str">
        <f>分类整理!E7</f>
        <v>人力资源部</v>
      </c>
      <c r="B26">
        <f>IF($A26="","",SUMIF(月度成本明细!$B:$B,$A26,月度成本明细!$D:$D))</f>
        <v>2789.9499999999985</v>
      </c>
      <c r="C26">
        <f>IF($A26="","",SUMIF(月度成本明细!$B:$B,$A26,月度成本明细!$E:$E))</f>
        <v>2796.239999999998</v>
      </c>
      <c r="D26">
        <f t="shared" si="3"/>
        <v>-6.2899999999995089</v>
      </c>
    </row>
    <row r="27" spans="1:8">
      <c r="A27" t="str">
        <f>分类整理!E8</f>
        <v>行政部</v>
      </c>
      <c r="B27">
        <f>IF($A27="","",SUMIF(月度成本明细!$B:$B,$A27,月度成本明细!$D:$D))</f>
        <v>2536.8500000000004</v>
      </c>
      <c r="C27">
        <f>IF($A27="","",SUMIF(月度成本明细!$B:$B,$A27,月度成本明细!$E:$E))</f>
        <v>2505.6000000000004</v>
      </c>
      <c r="D27">
        <f t="shared" si="3"/>
        <v>31.25</v>
      </c>
    </row>
    <row r="28" spans="1:8">
      <c r="A28" s="6" t="s">
        <v>60</v>
      </c>
      <c r="B28" s="6">
        <f>SUM(B22:B27)</f>
        <v>18607.079999999998</v>
      </c>
      <c r="C28" s="6">
        <f>SUM(C22:C27)</f>
        <v>18528.480000000003</v>
      </c>
      <c r="D28" s="6">
        <f>SUM(D22:D27)</f>
        <v>78.599999999999</v>
      </c>
    </row>
    <row r="31" spans="1:8" ht="15">
      <c r="A31" s="5" t="s">
        <v>62</v>
      </c>
    </row>
    <row r="32" spans="1:8">
      <c r="A32" s="1" t="s">
        <v>2</v>
      </c>
      <c r="B32" s="1" t="s">
        <v>54</v>
      </c>
      <c r="C32" s="1" t="s">
        <v>63</v>
      </c>
      <c r="D32" s="1" t="s">
        <v>64</v>
      </c>
      <c r="E32" s="1" t="s">
        <v>65</v>
      </c>
      <c r="F32" s="1" t="s">
        <v>55</v>
      </c>
      <c r="G32" s="1" t="s">
        <v>53</v>
      </c>
    </row>
    <row r="33" spans="1:7">
      <c r="A33" t="str">
        <f>分类整理!C3</f>
        <v>设备采购</v>
      </c>
      <c r="B33">
        <f>IF($A33="","",SUMIF(供应商采购成本!$B:$B,$A33,供应商采购成本!$D:$D))</f>
        <v>318.76</v>
      </c>
      <c r="C33">
        <f>IF($A33="","",SUMIF(月度成本明细!$C:$C,$A33,月度成本明细!$D:$D))</f>
        <v>3042.25</v>
      </c>
      <c r="D33" s="2">
        <f t="shared" ref="D33:D38" si="4">IF($A33="","",B33/C33)</f>
        <v>0.10477771386309474</v>
      </c>
      <c r="E33" s="2">
        <f>IF($A33="","",F33/G33)</f>
        <v>0.42105263157894735</v>
      </c>
      <c r="F33">
        <f>IF($A33="","",COUNTIFS(供应商采购成本!$B:$B,$A33,供应商采购成本!$E:$E,"待付款"))</f>
        <v>8</v>
      </c>
      <c r="G33">
        <f>IF($A33="","",COUNTIF(供应商采购成本!$B:$B,$A33))</f>
        <v>19</v>
      </c>
    </row>
    <row r="34" spans="1:7">
      <c r="A34" t="str">
        <f>分类整理!C4</f>
        <v>云服务器费用</v>
      </c>
      <c r="B34">
        <f>IF($A34="","",SUMIF(供应商采购成本!$B:$B,$A34,供应商采购成本!$D:$D))</f>
        <v>307.60000000000002</v>
      </c>
      <c r="C34">
        <f>IF($A34="","",SUMIF(月度成本明细!$C:$C,$A34,月度成本明细!$D:$D))</f>
        <v>2769.59</v>
      </c>
      <c r="D34" s="2">
        <f t="shared" si="4"/>
        <v>0.11106337039056323</v>
      </c>
      <c r="E34" s="2">
        <f t="shared" ref="E34:E38" si="5">IF($A34="","",F34/G34)</f>
        <v>0.27272727272727271</v>
      </c>
      <c r="F34">
        <f>IF($A34="","",COUNTIFS(供应商采购成本!$B:$B,$A34,供应商采购成本!$E:$E,"待付款"))</f>
        <v>6</v>
      </c>
      <c r="G34">
        <f>IF($A34="","",COUNTIF(供应商采购成本!$B:$B,$A34))</f>
        <v>22</v>
      </c>
    </row>
    <row r="35" spans="1:7">
      <c r="A35" t="str">
        <f>分类整理!C5</f>
        <v>办公租金</v>
      </c>
      <c r="B35">
        <f>IF($A35="","",SUMIF(供应商采购成本!$B:$B,$A35,供应商采购成本!$D:$D))</f>
        <v>376.20999999999992</v>
      </c>
      <c r="C35">
        <f>IF($A35="","",SUMIF(月度成本明细!$C:$C,$A35,月度成本明细!$D:$D))</f>
        <v>2473.4899999999993</v>
      </c>
      <c r="D35" s="2">
        <f t="shared" si="4"/>
        <v>0.15209683483660741</v>
      </c>
      <c r="E35" s="2">
        <f t="shared" si="5"/>
        <v>0.31818181818181818</v>
      </c>
      <c r="F35">
        <f>IF($A35="","",COUNTIFS(供应商采购成本!$B:$B,$A35,供应商采购成本!$E:$E,"待付款"))</f>
        <v>7</v>
      </c>
      <c r="G35">
        <f>IF($A35="","",COUNTIF(供应商采购成本!$B:$B,$A35))</f>
        <v>22</v>
      </c>
    </row>
    <row r="36" spans="1:7">
      <c r="A36" t="str">
        <f>分类整理!C6</f>
        <v>市场推广费</v>
      </c>
      <c r="B36">
        <f>IF($A36="","",SUMIF(供应商采购成本!$B:$B,$A36,供应商采购成本!$D:$D))</f>
        <v>299.9199999999999</v>
      </c>
      <c r="C36">
        <f>IF($A36="","",SUMIF(月度成本明细!$C:$C,$A36,月度成本明细!$D:$D))</f>
        <v>2619.3999999999992</v>
      </c>
      <c r="D36" s="2">
        <f t="shared" si="4"/>
        <v>0.11449950370313812</v>
      </c>
      <c r="E36" s="2">
        <f t="shared" si="5"/>
        <v>0.27272727272727271</v>
      </c>
      <c r="F36">
        <f>IF($A36="","",COUNTIFS(供应商采购成本!$B:$B,$A36,供应商采购成本!$E:$E,"待付款"))</f>
        <v>6</v>
      </c>
      <c r="G36">
        <f>IF($A36="","",COUNTIF(供应商采购成本!$B:$B,$A36))</f>
        <v>22</v>
      </c>
    </row>
    <row r="37" spans="1:7">
      <c r="A37" t="str">
        <f>分类整理!C7</f>
        <v>培训费用</v>
      </c>
      <c r="B37">
        <f>IF($A37="","",SUMIF(供应商采购成本!$B:$B,$A37,供应商采购成本!$D:$D))</f>
        <v>283.46000000000009</v>
      </c>
      <c r="C37">
        <f>IF($A37="","",SUMIF(月度成本明细!$C:$C,$A37,月度成本明细!$D:$D))</f>
        <v>2516.690000000001</v>
      </c>
      <c r="D37" s="2">
        <f t="shared" si="4"/>
        <v>0.11263206831194941</v>
      </c>
      <c r="E37" s="2">
        <f t="shared" si="5"/>
        <v>0.38095238095238093</v>
      </c>
      <c r="F37">
        <f>IF($A37="","",COUNTIFS(供应商采购成本!$B:$B,$A37,供应商采购成本!$E:$E,"待付款"))</f>
        <v>8</v>
      </c>
      <c r="G37">
        <f>IF($A37="","",COUNTIF(供应商采购成本!$B:$B,$A37))</f>
        <v>21</v>
      </c>
    </row>
    <row r="38" spans="1:7">
      <c r="A38" t="str">
        <f>分类整理!C8</f>
        <v>差旅费</v>
      </c>
      <c r="B38">
        <f>IF($A38="","",SUMIF(供应商采购成本!$B:$B,$A38,供应商采购成本!$D:$D))</f>
        <v>398.37</v>
      </c>
      <c r="C38">
        <f>IF($A38="","",SUMIF(月度成本明细!$C:$C,$A38,月度成本明细!$D:$D))</f>
        <v>2649.3700000000017</v>
      </c>
      <c r="D38" s="2">
        <f t="shared" si="4"/>
        <v>0.15036404881160417</v>
      </c>
      <c r="E38" s="2">
        <f t="shared" si="5"/>
        <v>0.23076923076923078</v>
      </c>
      <c r="F38">
        <f>IF($A38="","",COUNTIFS(供应商采购成本!$B:$B,$A38,供应商采购成本!$E:$E,"待付款"))</f>
        <v>6</v>
      </c>
      <c r="G38">
        <f>IF($A38="","",COUNTIF(供应商采购成本!$B:$B,$A38))</f>
        <v>26</v>
      </c>
    </row>
    <row r="39" spans="1:7">
      <c r="A39" s="6" t="s">
        <v>60</v>
      </c>
      <c r="B39" s="6">
        <f>SUM(B33:B38)</f>
        <v>1984.3199999999997</v>
      </c>
      <c r="C39" s="6">
        <f>SUM(C33:C38)</f>
        <v>16070.79</v>
      </c>
      <c r="D39" s="7">
        <f>B39/C39</f>
        <v>0.12347370602191925</v>
      </c>
      <c r="E39" s="7">
        <f>AVERAGE(E33:E38)</f>
        <v>0.31606843448948713</v>
      </c>
      <c r="F39" s="6">
        <f>SUM(F33:F38)</f>
        <v>41</v>
      </c>
      <c r="G39" s="6">
        <f>SUM(G33:G38)</f>
        <v>132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4"/>
  <sheetData/>
  <phoneticPr fontId="5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月度成本明细</vt:lpstr>
      <vt:lpstr>供应商采购成本</vt:lpstr>
      <vt:lpstr>分类整理</vt:lpstr>
      <vt:lpstr>成本分析看板</vt:lpstr>
      <vt:lpstr>成本图表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dp</cp:lastModifiedBy>
  <dcterms:created xsi:type="dcterms:W3CDTF">2026-08-11T03:41:19Z</dcterms:created>
  <dcterms:modified xsi:type="dcterms:W3CDTF">2026-08-14T09:40:21Z</dcterms:modified>
</cp:coreProperties>
</file>